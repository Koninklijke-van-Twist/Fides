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falken\Downloads\"/>
    </mc:Choice>
  </mc:AlternateContent>
  <xr:revisionPtr revIDLastSave="0" documentId="13_ncr:20001_{BCA56342-98B8-49F0-BB9A-C8647FB3FD1A}" xr6:coauthVersionLast="47" xr6:coauthVersionMax="47" xr10:uidLastSave="{00000000-0000-0000-0000-000000000000}"/>
  <bookViews>
    <workbookView xWindow="38280" yWindow="-15" windowWidth="38640" windowHeight="21120" xr2:uid="{00000000-000D-0000-FFFF-FFFF00000000}"/>
  </bookViews>
  <sheets>
    <sheet name="Export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5" i="1" l="1"/>
  <c r="E595" i="1"/>
  <c r="F579" i="1"/>
  <c r="E579" i="1"/>
  <c r="F563" i="1"/>
  <c r="E563" i="1"/>
  <c r="F547" i="1"/>
  <c r="E547" i="1"/>
  <c r="F531" i="1"/>
  <c r="E531" i="1"/>
  <c r="F515" i="1"/>
  <c r="E515" i="1"/>
  <c r="F499" i="1"/>
  <c r="E499" i="1"/>
  <c r="F481" i="1"/>
  <c r="E481" i="1"/>
  <c r="F463" i="1"/>
  <c r="E463" i="1"/>
  <c r="F446" i="1"/>
  <c r="E446" i="1"/>
  <c r="F426" i="1"/>
  <c r="E426" i="1"/>
  <c r="F425" i="1"/>
  <c r="E425" i="1"/>
  <c r="F406" i="1"/>
  <c r="E406" i="1"/>
  <c r="F405" i="1"/>
  <c r="E405" i="1"/>
  <c r="F386" i="1"/>
  <c r="E386" i="1"/>
  <c r="F385" i="1"/>
  <c r="E385" i="1"/>
  <c r="F367" i="1"/>
  <c r="E367" i="1"/>
  <c r="F366" i="1"/>
  <c r="E366" i="1"/>
  <c r="F349" i="1"/>
  <c r="E349" i="1"/>
  <c r="F348" i="1"/>
  <c r="E348" i="1"/>
  <c r="F331" i="1"/>
  <c r="E331" i="1"/>
  <c r="F330" i="1"/>
  <c r="E330" i="1"/>
  <c r="F312" i="1"/>
  <c r="E312" i="1"/>
  <c r="F311" i="1"/>
  <c r="E311" i="1"/>
  <c r="F294" i="1"/>
  <c r="E294" i="1"/>
  <c r="F293" i="1"/>
  <c r="E293" i="1"/>
  <c r="F276" i="1"/>
  <c r="E276" i="1"/>
  <c r="F275" i="1"/>
  <c r="E275" i="1"/>
  <c r="F258" i="1"/>
  <c r="E258" i="1"/>
  <c r="F257" i="1"/>
  <c r="E257" i="1"/>
  <c r="F240" i="1"/>
  <c r="E240" i="1"/>
  <c r="F239" i="1"/>
  <c r="E239" i="1"/>
  <c r="F223" i="1"/>
  <c r="E223" i="1"/>
  <c r="F222" i="1"/>
  <c r="E222" i="1"/>
  <c r="F205" i="1"/>
  <c r="E205" i="1"/>
  <c r="F204" i="1"/>
  <c r="E204" i="1"/>
  <c r="F188" i="1"/>
  <c r="E188" i="1"/>
  <c r="F187" i="1"/>
  <c r="E187" i="1"/>
  <c r="F171" i="1"/>
  <c r="E171" i="1"/>
  <c r="F170" i="1"/>
  <c r="E170" i="1"/>
  <c r="F154" i="1"/>
  <c r="E154" i="1"/>
  <c r="F153" i="1"/>
  <c r="E153" i="1"/>
  <c r="F137" i="1"/>
  <c r="E137" i="1"/>
  <c r="F136" i="1"/>
  <c r="E136" i="1"/>
  <c r="F120" i="1"/>
  <c r="E120" i="1"/>
  <c r="F104" i="1"/>
  <c r="E104" i="1"/>
  <c r="F88" i="1"/>
  <c r="E88" i="1"/>
  <c r="F72" i="1"/>
  <c r="E72" i="1"/>
  <c r="F56" i="1"/>
  <c r="E56" i="1"/>
  <c r="F40" i="1"/>
  <c r="E40" i="1"/>
  <c r="F24" i="1"/>
  <c r="E24" i="1"/>
</calcChain>
</file>

<file path=xl/sharedStrings.xml><?xml version="1.0" encoding="utf-8"?>
<sst xmlns="http://schemas.openxmlformats.org/spreadsheetml/2006/main" count="1794" uniqueCount="167">
  <si>
    <t>Veld</t>
  </si>
  <si>
    <t>Waarde</t>
  </si>
  <si>
    <t>Bedrijf</t>
  </si>
  <si>
    <t>Koninklijke van Twist</t>
  </si>
  <si>
    <t>Contractnummer</t>
  </si>
  <si>
    <t>CT26000140</t>
  </si>
  <si>
    <t>Klant</t>
  </si>
  <si>
    <t>EDGECONNEX AMS05 BV</t>
  </si>
  <si>
    <t>Status</t>
  </si>
  <si>
    <t>Vrijgegeven</t>
  </si>
  <si>
    <t>Type</t>
  </si>
  <si>
    <t>Onderhoud</t>
  </si>
  <si>
    <t>Periode van</t>
  </si>
  <si>
    <t>01-01-2026</t>
  </si>
  <si>
    <t>Periode tot</t>
  </si>
  <si>
    <t>31-12-2026</t>
  </si>
  <si>
    <t/>
  </si>
  <si>
    <t>Component</t>
  </si>
  <si>
    <t>Feature_Code</t>
  </si>
  <si>
    <t>Value</t>
  </si>
  <si>
    <t>10025599</t>
  </si>
  <si>
    <t>12 COOL. MEDIUM QTY</t>
  </si>
  <si>
    <t>1.200</t>
  </si>
  <si>
    <t>05 LUB.OIL QTY</t>
  </si>
  <si>
    <t>480</t>
  </si>
  <si>
    <t>91 AVR REG</t>
  </si>
  <si>
    <t>Std SDMO</t>
  </si>
  <si>
    <t>09 CAP. OF DAYTANK</t>
  </si>
  <si>
    <t>30.000</t>
  </si>
  <si>
    <t>07 EBI DATE</t>
  </si>
  <si>
    <t>05.07.2021</t>
  </si>
  <si>
    <t>90 KVT PROJECT</t>
  </si>
  <si>
    <t>130.084</t>
  </si>
  <si>
    <t>14 LAST PI DATE</t>
  </si>
  <si>
    <t>06.08.2026</t>
  </si>
  <si>
    <t>04 POWER IN KVA</t>
  </si>
  <si>
    <t>3100</t>
  </si>
  <si>
    <t>03 BATTERY QTY</t>
  </si>
  <si>
    <t>8</t>
  </si>
  <si>
    <t>08 TYPE OF DAYTANK</t>
  </si>
  <si>
    <t>Belly Tank</t>
  </si>
  <si>
    <t>16 YEAR OF CONSTR.</t>
  </si>
  <si>
    <t>2020</t>
  </si>
  <si>
    <t>Werkorder</t>
  </si>
  <si>
    <t>Taak</t>
  </si>
  <si>
    <t>PDF</t>
  </si>
  <si>
    <t>Excel</t>
  </si>
  <si>
    <t>WO2601489</t>
  </si>
  <si>
    <t>QOH</t>
  </si>
  <si>
    <t>Onderhanden</t>
  </si>
  <si>
    <t>10025600</t>
  </si>
  <si>
    <t>550</t>
  </si>
  <si>
    <t>17.12.2021</t>
  </si>
  <si>
    <t>Frametank</t>
  </si>
  <si>
    <t>WO2601498</t>
  </si>
  <si>
    <t>10025601</t>
  </si>
  <si>
    <t>2021</t>
  </si>
  <si>
    <t>WO2601509</t>
  </si>
  <si>
    <t>10025602</t>
  </si>
  <si>
    <t>WO2601520</t>
  </si>
  <si>
    <t>10025603</t>
  </si>
  <si>
    <t>WO2601531</t>
  </si>
  <si>
    <t>10025604</t>
  </si>
  <si>
    <t>WO2601548</t>
  </si>
  <si>
    <t>10025605</t>
  </si>
  <si>
    <t>WO2601553</t>
  </si>
  <si>
    <t>10026185</t>
  </si>
  <si>
    <t>1.201</t>
  </si>
  <si>
    <t>16.12.2021</t>
  </si>
  <si>
    <t>131.336</t>
  </si>
  <si>
    <t>07.08.2026</t>
  </si>
  <si>
    <t>WO2601564</t>
  </si>
  <si>
    <t>WO2601561</t>
  </si>
  <si>
    <t>GOH SA LB ST24</t>
  </si>
  <si>
    <t>Uitgevoerd</t>
  </si>
  <si>
    <t>10026186</t>
  </si>
  <si>
    <t>450</t>
  </si>
  <si>
    <t>WO2601575</t>
  </si>
  <si>
    <t>WO2601572</t>
  </si>
  <si>
    <t>10026187</t>
  </si>
  <si>
    <t>WO2601586</t>
  </si>
  <si>
    <t>WO2601583</t>
  </si>
  <si>
    <t>10026188</t>
  </si>
  <si>
    <t>Above ground</t>
  </si>
  <si>
    <t>WO2601597</t>
  </si>
  <si>
    <t>WO2601594</t>
  </si>
  <si>
    <t>10026189</t>
  </si>
  <si>
    <t>600</t>
  </si>
  <si>
    <t>460</t>
  </si>
  <si>
    <t>Bovengrondse tank</t>
  </si>
  <si>
    <t>WO2601608</t>
  </si>
  <si>
    <t>WO2601605</t>
  </si>
  <si>
    <t>10026190</t>
  </si>
  <si>
    <t>17 MONTH OF CONSTR.</t>
  </si>
  <si>
    <t>09</t>
  </si>
  <si>
    <t>WO2601619</t>
  </si>
  <si>
    <t>WO2601616</t>
  </si>
  <si>
    <t>10026191</t>
  </si>
  <si>
    <t>WO2601630</t>
  </si>
  <si>
    <t>WO2601627</t>
  </si>
  <si>
    <t>10026331</t>
  </si>
  <si>
    <t>132.777</t>
  </si>
  <si>
    <t>08.08.2026</t>
  </si>
  <si>
    <t>10</t>
  </si>
  <si>
    <t>WO2601641</t>
  </si>
  <si>
    <t>WO2601638</t>
  </si>
  <si>
    <t>10026332</t>
  </si>
  <si>
    <t>WO2601652</t>
  </si>
  <si>
    <t>WO2601649</t>
  </si>
  <si>
    <t>10026333</t>
  </si>
  <si>
    <t>WO2601663</t>
  </si>
  <si>
    <t>WO2601660</t>
  </si>
  <si>
    <t>10026334</t>
  </si>
  <si>
    <t>WO2601674</t>
  </si>
  <si>
    <t>WO2601671</t>
  </si>
  <si>
    <t>10026335</t>
  </si>
  <si>
    <t>40 PR DATE BATTERY</t>
  </si>
  <si>
    <t>01-01-2024</t>
  </si>
  <si>
    <t>02 TYPE OF BATTERY</t>
  </si>
  <si>
    <t>Optima Redtop</t>
  </si>
  <si>
    <t>WO2601685</t>
  </si>
  <si>
    <t>WO2601682</t>
  </si>
  <si>
    <t>10026336</t>
  </si>
  <si>
    <t>WO2601696</t>
  </si>
  <si>
    <t>WO2601693</t>
  </si>
  <si>
    <t>10026337</t>
  </si>
  <si>
    <t>WO2601707</t>
  </si>
  <si>
    <t>WO2601704</t>
  </si>
  <si>
    <t>10026740</t>
  </si>
  <si>
    <t>03.03.2022</t>
  </si>
  <si>
    <t>132.029</t>
  </si>
  <si>
    <t>19 SCIOS 4D EXP DATE</t>
  </si>
  <si>
    <t>22-01-2026</t>
  </si>
  <si>
    <t>WO2601718</t>
  </si>
  <si>
    <t>WO2601715</t>
  </si>
  <si>
    <t>10026741</t>
  </si>
  <si>
    <t>18 SCIOS 4D</t>
  </si>
  <si>
    <t>WO2601729</t>
  </si>
  <si>
    <t>WO2601726</t>
  </si>
  <si>
    <t>10026742</t>
  </si>
  <si>
    <t>WO2601740</t>
  </si>
  <si>
    <t>WO2601737</t>
  </si>
  <si>
    <t>10026743</t>
  </si>
  <si>
    <t>22.01.2026</t>
  </si>
  <si>
    <t>WO2601751</t>
  </si>
  <si>
    <t>10026744</t>
  </si>
  <si>
    <t>23-01-2026</t>
  </si>
  <si>
    <t>WO2601762</t>
  </si>
  <si>
    <t>10026745</t>
  </si>
  <si>
    <t>WO2601773</t>
  </si>
  <si>
    <t>10026746</t>
  </si>
  <si>
    <t>133.154</t>
  </si>
  <si>
    <t>WO2601784</t>
  </si>
  <si>
    <t>10026747</t>
  </si>
  <si>
    <t>03.12.2022</t>
  </si>
  <si>
    <t>09.08.2026</t>
  </si>
  <si>
    <t>WO2601795</t>
  </si>
  <si>
    <t>10026748</t>
  </si>
  <si>
    <t>WO2601806</t>
  </si>
  <si>
    <t>10026749</t>
  </si>
  <si>
    <t>WO2601817</t>
  </si>
  <si>
    <t>10026750</t>
  </si>
  <si>
    <t>WO2601828</t>
  </si>
  <si>
    <t>10026751</t>
  </si>
  <si>
    <t>WO2601839</t>
  </si>
  <si>
    <t>10026752</t>
  </si>
  <si>
    <t>WO2601850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</si>
</sst>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8" totalsRowShown="0">
  <autoFilter ref="A1:B8" xr:uid="{00000000-0009-0000-0100-000001000000}"/>
  <tableColumns count="2">
    <tableColumn id="1" xr3:uid="{00000000-0010-0000-0000-000001000000}" name="Veld"/>
    <tableColumn id="2" xr3:uid="{00000000-0010-0000-0000-000002000000}" name="Waar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0:C21" totalsRowShown="0">
  <autoFilter ref="A10:C21" xr:uid="{00000000-0009-0000-0100-000002000000}"/>
  <tableColumns count="3">
    <tableColumn id="1" xr3:uid="{00000000-0010-0000-0100-000001000000}" name="Component"/>
    <tableColumn id="2" xr3:uid="{00000000-0010-0000-0100-000002000000}" name="Feature_Code"/>
    <tableColumn id="3" xr3:uid="{00000000-0010-0000-0100-000003000000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23:F24" totalsRowShown="0">
  <autoFilter ref="A23:F24" xr:uid="{00000000-0009-0000-0100-000003000000}"/>
  <tableColumns count="6">
    <tableColumn id="1" xr3:uid="{00000000-0010-0000-0200-000001000000}" name="Component"/>
    <tableColumn id="2" xr3:uid="{00000000-0010-0000-0200-000002000000}" name="Werkorder"/>
    <tableColumn id="3" xr3:uid="{00000000-0010-0000-0200-000003000000}" name="Taak"/>
    <tableColumn id="4" xr3:uid="{00000000-0010-0000-0200-000004000000}" name="Status"/>
    <tableColumn id="5" xr3:uid="{00000000-0010-0000-0200-000005000000}" name="PDF"/>
    <tableColumn id="6" xr3:uid="{00000000-0010-0000-0200-000006000000}" name="Exc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26:C37" totalsRowShown="0">
  <autoFilter ref="A26:C37" xr:uid="{00000000-0009-0000-0100-000004000000}"/>
  <tableColumns count="3">
    <tableColumn id="1" xr3:uid="{00000000-0010-0000-0300-000001000000}" name="Component"/>
    <tableColumn id="2" xr3:uid="{00000000-0010-0000-0300-000002000000}" name="Feature_Code"/>
    <tableColumn id="3" xr3:uid="{00000000-0010-0000-0300-000003000000}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39:F40" totalsRowShown="0">
  <autoFilter ref="A39:F40" xr:uid="{00000000-0009-0000-0100-000005000000}"/>
  <tableColumns count="6">
    <tableColumn id="1" xr3:uid="{00000000-0010-0000-0400-000001000000}" name="Component"/>
    <tableColumn id="2" xr3:uid="{00000000-0010-0000-0400-000002000000}" name="Werkorder"/>
    <tableColumn id="3" xr3:uid="{00000000-0010-0000-0400-000003000000}" name="Taak"/>
    <tableColumn id="4" xr3:uid="{00000000-0010-0000-0400-000004000000}" name="Status"/>
    <tableColumn id="5" xr3:uid="{00000000-0010-0000-0400-000005000000}" name="PDF"/>
    <tableColumn id="6" xr3:uid="{00000000-0010-0000-0400-000006000000}" name="Exce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42:C53" totalsRowShown="0">
  <autoFilter ref="A42:C53" xr:uid="{00000000-0009-0000-0100-000006000000}"/>
  <tableColumns count="3">
    <tableColumn id="1" xr3:uid="{00000000-0010-0000-0500-000001000000}" name="Component"/>
    <tableColumn id="2" xr3:uid="{00000000-0010-0000-0500-000002000000}" name="Feature_Code"/>
    <tableColumn id="3" xr3:uid="{00000000-0010-0000-0500-000003000000}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55:F56" totalsRowShown="0">
  <autoFilter ref="A55:F56" xr:uid="{00000000-0009-0000-0100-000007000000}"/>
  <tableColumns count="6">
    <tableColumn id="1" xr3:uid="{00000000-0010-0000-0600-000001000000}" name="Component"/>
    <tableColumn id="2" xr3:uid="{00000000-0010-0000-0600-000002000000}" name="Werkorder"/>
    <tableColumn id="3" xr3:uid="{00000000-0010-0000-0600-000003000000}" name="Taak"/>
    <tableColumn id="4" xr3:uid="{00000000-0010-0000-0600-000004000000}" name="Status"/>
    <tableColumn id="5" xr3:uid="{00000000-0010-0000-0600-000005000000}" name="PDF"/>
    <tableColumn id="6" xr3:uid="{00000000-0010-0000-0600-000006000000}" name="Exce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58:C69" totalsRowShown="0">
  <autoFilter ref="A58:C69" xr:uid="{00000000-0009-0000-0100-000008000000}"/>
  <tableColumns count="3">
    <tableColumn id="1" xr3:uid="{00000000-0010-0000-0700-000001000000}" name="Component"/>
    <tableColumn id="2" xr3:uid="{00000000-0010-0000-0700-000002000000}" name="Feature_Code"/>
    <tableColumn id="3" xr3:uid="{00000000-0010-0000-0700-000003000000}" name="Valu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71:F72" totalsRowShown="0">
  <autoFilter ref="A71:F72" xr:uid="{00000000-0009-0000-0100-000009000000}"/>
  <tableColumns count="6">
    <tableColumn id="1" xr3:uid="{00000000-0010-0000-0800-000001000000}" name="Component"/>
    <tableColumn id="2" xr3:uid="{00000000-0010-0000-0800-000002000000}" name="Werkorder"/>
    <tableColumn id="3" xr3:uid="{00000000-0010-0000-0800-000003000000}" name="Taak"/>
    <tableColumn id="4" xr3:uid="{00000000-0010-0000-0800-000004000000}" name="Status"/>
    <tableColumn id="5" xr3:uid="{00000000-0010-0000-0800-000005000000}" name="PDF"/>
    <tableColumn id="6" xr3:uid="{00000000-0010-0000-0800-000006000000}" name="Exce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74:C85" totalsRowShown="0">
  <autoFilter ref="A74:C85" xr:uid="{00000000-0009-0000-0100-00000A000000}"/>
  <tableColumns count="3">
    <tableColumn id="1" xr3:uid="{00000000-0010-0000-0900-000001000000}" name="Component"/>
    <tableColumn id="2" xr3:uid="{00000000-0010-0000-0900-000002000000}" name="Feature_Code"/>
    <tableColumn id="3" xr3:uid="{00000000-0010-0000-0900-000003000000}" name="Valu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87:F88" totalsRowShown="0">
  <autoFilter ref="A87:F88" xr:uid="{00000000-0009-0000-0100-00000B000000}"/>
  <tableColumns count="6">
    <tableColumn id="1" xr3:uid="{00000000-0010-0000-0A00-000001000000}" name="Component"/>
    <tableColumn id="2" xr3:uid="{00000000-0010-0000-0A00-000002000000}" name="Werkorder"/>
    <tableColumn id="3" xr3:uid="{00000000-0010-0000-0A00-000003000000}" name="Taak"/>
    <tableColumn id="4" xr3:uid="{00000000-0010-0000-0A00-000004000000}" name="Status"/>
    <tableColumn id="5" xr3:uid="{00000000-0010-0000-0A00-000005000000}" name="PDF"/>
    <tableColumn id="6" xr3:uid="{00000000-0010-0000-0A00-000006000000}" name="Exce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90:C101" totalsRowShown="0">
  <autoFilter ref="A90:C101" xr:uid="{00000000-0009-0000-0100-00000C000000}"/>
  <tableColumns count="3">
    <tableColumn id="1" xr3:uid="{00000000-0010-0000-0B00-000001000000}" name="Component"/>
    <tableColumn id="2" xr3:uid="{00000000-0010-0000-0B00-000002000000}" name="Feature_Code"/>
    <tableColumn id="3" xr3:uid="{00000000-0010-0000-0B00-000003000000}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A103:F104" totalsRowShown="0">
  <autoFilter ref="A103:F104" xr:uid="{00000000-0009-0000-0100-00000D000000}"/>
  <tableColumns count="6">
    <tableColumn id="1" xr3:uid="{00000000-0010-0000-0C00-000001000000}" name="Component"/>
    <tableColumn id="2" xr3:uid="{00000000-0010-0000-0C00-000002000000}" name="Werkorder"/>
    <tableColumn id="3" xr3:uid="{00000000-0010-0000-0C00-000003000000}" name="Taak"/>
    <tableColumn id="4" xr3:uid="{00000000-0010-0000-0C00-000004000000}" name="Status"/>
    <tableColumn id="5" xr3:uid="{00000000-0010-0000-0C00-000005000000}" name="PDF"/>
    <tableColumn id="6" xr3:uid="{00000000-0010-0000-0C00-000006000000}" name="Excel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106:C117" totalsRowShown="0">
  <autoFilter ref="A106:C117" xr:uid="{00000000-0009-0000-0100-00000E000000}"/>
  <tableColumns count="3">
    <tableColumn id="1" xr3:uid="{00000000-0010-0000-0D00-000001000000}" name="Component"/>
    <tableColumn id="2" xr3:uid="{00000000-0010-0000-0D00-000002000000}" name="Feature_Code"/>
    <tableColumn id="3" xr3:uid="{00000000-0010-0000-0D00-000003000000}" name="Valu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119:F120" totalsRowShown="0">
  <autoFilter ref="A119:F120" xr:uid="{00000000-0009-0000-0100-00000F000000}"/>
  <tableColumns count="6">
    <tableColumn id="1" xr3:uid="{00000000-0010-0000-0E00-000001000000}" name="Component"/>
    <tableColumn id="2" xr3:uid="{00000000-0010-0000-0E00-000002000000}" name="Werkorder"/>
    <tableColumn id="3" xr3:uid="{00000000-0010-0000-0E00-000003000000}" name="Taak"/>
    <tableColumn id="4" xr3:uid="{00000000-0010-0000-0E00-000004000000}" name="Status"/>
    <tableColumn id="5" xr3:uid="{00000000-0010-0000-0E00-000005000000}" name="PDF"/>
    <tableColumn id="6" xr3:uid="{00000000-0010-0000-0E00-000006000000}" name="Excel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A122:C133" totalsRowShown="0">
  <autoFilter ref="A122:C133" xr:uid="{00000000-0009-0000-0100-000010000000}"/>
  <tableColumns count="3">
    <tableColumn id="1" xr3:uid="{00000000-0010-0000-0F00-000001000000}" name="Component"/>
    <tableColumn id="2" xr3:uid="{00000000-0010-0000-0F00-000002000000}" name="Feature_Code"/>
    <tableColumn id="3" xr3:uid="{00000000-0010-0000-0F00-000003000000}" name="Valu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7" displayName="Table17" ref="A135:F137" totalsRowShown="0">
  <autoFilter ref="A135:F137" xr:uid="{00000000-0009-0000-0100-000011000000}"/>
  <tableColumns count="6">
    <tableColumn id="1" xr3:uid="{00000000-0010-0000-1000-000001000000}" name="Component"/>
    <tableColumn id="2" xr3:uid="{00000000-0010-0000-1000-000002000000}" name="Werkorder"/>
    <tableColumn id="3" xr3:uid="{00000000-0010-0000-1000-000003000000}" name="Taak"/>
    <tableColumn id="4" xr3:uid="{00000000-0010-0000-1000-000004000000}" name="Status"/>
    <tableColumn id="5" xr3:uid="{00000000-0010-0000-1000-000005000000}" name="PDF"/>
    <tableColumn id="6" xr3:uid="{00000000-0010-0000-1000-000006000000}" name="Excel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18" displayName="Table18" ref="A139:C150" totalsRowShown="0">
  <autoFilter ref="A139:C150" xr:uid="{00000000-0009-0000-0100-000012000000}"/>
  <tableColumns count="3">
    <tableColumn id="1" xr3:uid="{00000000-0010-0000-1100-000001000000}" name="Component"/>
    <tableColumn id="2" xr3:uid="{00000000-0010-0000-1100-000002000000}" name="Feature_Code"/>
    <tableColumn id="3" xr3:uid="{00000000-0010-0000-1100-000003000000}" name="Valu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19" displayName="Table19" ref="A152:F154" totalsRowShown="0">
  <autoFilter ref="A152:F154" xr:uid="{00000000-0009-0000-0100-000013000000}"/>
  <tableColumns count="6">
    <tableColumn id="1" xr3:uid="{00000000-0010-0000-1200-000001000000}" name="Component"/>
    <tableColumn id="2" xr3:uid="{00000000-0010-0000-1200-000002000000}" name="Werkorder"/>
    <tableColumn id="3" xr3:uid="{00000000-0010-0000-1200-000003000000}" name="Taak"/>
    <tableColumn id="4" xr3:uid="{00000000-0010-0000-1200-000004000000}" name="Status"/>
    <tableColumn id="5" xr3:uid="{00000000-0010-0000-1200-000005000000}" name="PDF"/>
    <tableColumn id="6" xr3:uid="{00000000-0010-0000-1200-000006000000}" name="Excel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20" displayName="Table20" ref="A156:C167" totalsRowShown="0">
  <autoFilter ref="A156:C167" xr:uid="{00000000-0009-0000-0100-000014000000}"/>
  <tableColumns count="3">
    <tableColumn id="1" xr3:uid="{00000000-0010-0000-1300-000001000000}" name="Component"/>
    <tableColumn id="2" xr3:uid="{00000000-0010-0000-1300-000002000000}" name="Feature_Code"/>
    <tableColumn id="3" xr3:uid="{00000000-0010-0000-1300-000003000000}" name="Valu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21" displayName="Table21" ref="A169:F171" totalsRowShown="0">
  <autoFilter ref="A169:F171" xr:uid="{00000000-0009-0000-0100-000015000000}"/>
  <tableColumns count="6">
    <tableColumn id="1" xr3:uid="{00000000-0010-0000-1400-000001000000}" name="Component"/>
    <tableColumn id="2" xr3:uid="{00000000-0010-0000-1400-000002000000}" name="Werkorder"/>
    <tableColumn id="3" xr3:uid="{00000000-0010-0000-1400-000003000000}" name="Taak"/>
    <tableColumn id="4" xr3:uid="{00000000-0010-0000-1400-000004000000}" name="Status"/>
    <tableColumn id="5" xr3:uid="{00000000-0010-0000-1400-000005000000}" name="PDF"/>
    <tableColumn id="6" xr3:uid="{00000000-0010-0000-1400-000006000000}" name="Excel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22" displayName="Table22" ref="A173:C184" totalsRowShown="0">
  <autoFilter ref="A173:C184" xr:uid="{00000000-0009-0000-0100-000016000000}"/>
  <tableColumns count="3">
    <tableColumn id="1" xr3:uid="{00000000-0010-0000-1500-000001000000}" name="Component"/>
    <tableColumn id="2" xr3:uid="{00000000-0010-0000-1500-000002000000}" name="Feature_Code"/>
    <tableColumn id="3" xr3:uid="{00000000-0010-0000-1500-000003000000}" name="Valu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23" displayName="Table23" ref="A186:F188" totalsRowShown="0">
  <autoFilter ref="A186:F188" xr:uid="{00000000-0009-0000-0100-000017000000}"/>
  <tableColumns count="6">
    <tableColumn id="1" xr3:uid="{00000000-0010-0000-1600-000001000000}" name="Component"/>
    <tableColumn id="2" xr3:uid="{00000000-0010-0000-1600-000002000000}" name="Werkorder"/>
    <tableColumn id="3" xr3:uid="{00000000-0010-0000-1600-000003000000}" name="Taak"/>
    <tableColumn id="4" xr3:uid="{00000000-0010-0000-1600-000004000000}" name="Status"/>
    <tableColumn id="5" xr3:uid="{00000000-0010-0000-1600-000005000000}" name="PDF"/>
    <tableColumn id="6" xr3:uid="{00000000-0010-0000-1600-000006000000}" name="Excel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24" displayName="Table24" ref="A190:C201" totalsRowShown="0">
  <autoFilter ref="A190:C201" xr:uid="{00000000-0009-0000-0100-000018000000}"/>
  <tableColumns count="3">
    <tableColumn id="1" xr3:uid="{00000000-0010-0000-1700-000001000000}" name="Component"/>
    <tableColumn id="2" xr3:uid="{00000000-0010-0000-1700-000002000000}" name="Feature_Code"/>
    <tableColumn id="3" xr3:uid="{00000000-0010-0000-1700-000003000000}" name="Valu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25" displayName="Table25" ref="A203:F205" totalsRowShown="0">
  <autoFilter ref="A203:F205" xr:uid="{00000000-0009-0000-0100-000019000000}"/>
  <tableColumns count="6">
    <tableColumn id="1" xr3:uid="{00000000-0010-0000-1800-000001000000}" name="Component"/>
    <tableColumn id="2" xr3:uid="{00000000-0010-0000-1800-000002000000}" name="Werkorder"/>
    <tableColumn id="3" xr3:uid="{00000000-0010-0000-1800-000003000000}" name="Taak"/>
    <tableColumn id="4" xr3:uid="{00000000-0010-0000-1800-000004000000}" name="Status"/>
    <tableColumn id="5" xr3:uid="{00000000-0010-0000-1800-000005000000}" name="PDF"/>
    <tableColumn id="6" xr3:uid="{00000000-0010-0000-1800-000006000000}" name="Excel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26" displayName="Table26" ref="A207:C219" totalsRowShown="0">
  <autoFilter ref="A207:C219" xr:uid="{00000000-0009-0000-0100-00001A000000}"/>
  <tableColumns count="3">
    <tableColumn id="1" xr3:uid="{00000000-0010-0000-1900-000001000000}" name="Component"/>
    <tableColumn id="2" xr3:uid="{00000000-0010-0000-1900-000002000000}" name="Feature_Code"/>
    <tableColumn id="3" xr3:uid="{00000000-0010-0000-1900-000003000000}" name="Valu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27" displayName="Table27" ref="A221:F223" totalsRowShown="0">
  <autoFilter ref="A221:F223" xr:uid="{00000000-0009-0000-0100-00001B000000}"/>
  <tableColumns count="6">
    <tableColumn id="1" xr3:uid="{00000000-0010-0000-1A00-000001000000}" name="Component"/>
    <tableColumn id="2" xr3:uid="{00000000-0010-0000-1A00-000002000000}" name="Werkorder"/>
    <tableColumn id="3" xr3:uid="{00000000-0010-0000-1A00-000003000000}" name="Taak"/>
    <tableColumn id="4" xr3:uid="{00000000-0010-0000-1A00-000004000000}" name="Status"/>
    <tableColumn id="5" xr3:uid="{00000000-0010-0000-1A00-000005000000}" name="PDF"/>
    <tableColumn id="6" xr3:uid="{00000000-0010-0000-1A00-000006000000}" name="Excel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28" displayName="Table28" ref="A225:C236" totalsRowShown="0">
  <autoFilter ref="A225:C236" xr:uid="{00000000-0009-0000-0100-00001C000000}"/>
  <tableColumns count="3">
    <tableColumn id="1" xr3:uid="{00000000-0010-0000-1B00-000001000000}" name="Component"/>
    <tableColumn id="2" xr3:uid="{00000000-0010-0000-1B00-000002000000}" name="Feature_Code"/>
    <tableColumn id="3" xr3:uid="{00000000-0010-0000-1B00-000003000000}" name="Valu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29" displayName="Table29" ref="A238:F240" totalsRowShown="0">
  <autoFilter ref="A238:F240" xr:uid="{00000000-0009-0000-0100-00001D000000}"/>
  <tableColumns count="6">
    <tableColumn id="1" xr3:uid="{00000000-0010-0000-1C00-000001000000}" name="Component"/>
    <tableColumn id="2" xr3:uid="{00000000-0010-0000-1C00-000002000000}" name="Werkorder"/>
    <tableColumn id="3" xr3:uid="{00000000-0010-0000-1C00-000003000000}" name="Taak"/>
    <tableColumn id="4" xr3:uid="{00000000-0010-0000-1C00-000004000000}" name="Status"/>
    <tableColumn id="5" xr3:uid="{00000000-0010-0000-1C00-000005000000}" name="PDF"/>
    <tableColumn id="6" xr3:uid="{00000000-0010-0000-1C00-000006000000}" name="Excel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30" displayName="Table30" ref="A242:C254" totalsRowShown="0">
  <autoFilter ref="A242:C254" xr:uid="{00000000-0009-0000-0100-00001E000000}"/>
  <tableColumns count="3">
    <tableColumn id="1" xr3:uid="{00000000-0010-0000-1D00-000001000000}" name="Component"/>
    <tableColumn id="2" xr3:uid="{00000000-0010-0000-1D00-000002000000}" name="Feature_Code"/>
    <tableColumn id="3" xr3:uid="{00000000-0010-0000-1D00-000003000000}" name="Valu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31" displayName="Table31" ref="A256:F258" totalsRowShown="0">
  <autoFilter ref="A256:F258" xr:uid="{00000000-0009-0000-0100-00001F000000}"/>
  <tableColumns count="6">
    <tableColumn id="1" xr3:uid="{00000000-0010-0000-1E00-000001000000}" name="Component"/>
    <tableColumn id="2" xr3:uid="{00000000-0010-0000-1E00-000002000000}" name="Werkorder"/>
    <tableColumn id="3" xr3:uid="{00000000-0010-0000-1E00-000003000000}" name="Taak"/>
    <tableColumn id="4" xr3:uid="{00000000-0010-0000-1E00-000004000000}" name="Status"/>
    <tableColumn id="5" xr3:uid="{00000000-0010-0000-1E00-000005000000}" name="PDF"/>
    <tableColumn id="6" xr3:uid="{00000000-0010-0000-1E00-000006000000}" name="Excel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32" displayName="Table32" ref="A260:C272" totalsRowShown="0">
  <autoFilter ref="A260:C272" xr:uid="{00000000-0009-0000-0100-000020000000}"/>
  <tableColumns count="3">
    <tableColumn id="1" xr3:uid="{00000000-0010-0000-1F00-000001000000}" name="Component"/>
    <tableColumn id="2" xr3:uid="{00000000-0010-0000-1F00-000002000000}" name="Feature_Code"/>
    <tableColumn id="3" xr3:uid="{00000000-0010-0000-1F00-000003000000}" name="Valu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33" displayName="Table33" ref="A274:F276" totalsRowShown="0">
  <autoFilter ref="A274:F276" xr:uid="{00000000-0009-0000-0100-000021000000}"/>
  <tableColumns count="6">
    <tableColumn id="1" xr3:uid="{00000000-0010-0000-2000-000001000000}" name="Component"/>
    <tableColumn id="2" xr3:uid="{00000000-0010-0000-2000-000002000000}" name="Werkorder"/>
    <tableColumn id="3" xr3:uid="{00000000-0010-0000-2000-000003000000}" name="Taak"/>
    <tableColumn id="4" xr3:uid="{00000000-0010-0000-2000-000004000000}" name="Status"/>
    <tableColumn id="5" xr3:uid="{00000000-0010-0000-2000-000005000000}" name="PDF"/>
    <tableColumn id="6" xr3:uid="{00000000-0010-0000-2000-000006000000}" name="Excel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34" displayName="Table34" ref="A278:C290" totalsRowShown="0">
  <autoFilter ref="A278:C290" xr:uid="{00000000-0009-0000-0100-000022000000}"/>
  <tableColumns count="3">
    <tableColumn id="1" xr3:uid="{00000000-0010-0000-2100-000001000000}" name="Component"/>
    <tableColumn id="2" xr3:uid="{00000000-0010-0000-2100-000002000000}" name="Feature_Code"/>
    <tableColumn id="3" xr3:uid="{00000000-0010-0000-2100-000003000000}" name="Valu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35" displayName="Table35" ref="A292:F294" totalsRowShown="0">
  <autoFilter ref="A292:F294" xr:uid="{00000000-0009-0000-0100-000023000000}"/>
  <tableColumns count="6">
    <tableColumn id="1" xr3:uid="{00000000-0010-0000-2200-000001000000}" name="Component"/>
    <tableColumn id="2" xr3:uid="{00000000-0010-0000-2200-000002000000}" name="Werkorder"/>
    <tableColumn id="3" xr3:uid="{00000000-0010-0000-2200-000003000000}" name="Taak"/>
    <tableColumn id="4" xr3:uid="{00000000-0010-0000-2200-000004000000}" name="Status"/>
    <tableColumn id="5" xr3:uid="{00000000-0010-0000-2200-000005000000}" name="PDF"/>
    <tableColumn id="6" xr3:uid="{00000000-0010-0000-2200-000006000000}" name="Excel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36" displayName="Table36" ref="A296:C308" totalsRowShown="0">
  <autoFilter ref="A296:C308" xr:uid="{00000000-0009-0000-0100-000024000000}"/>
  <tableColumns count="3">
    <tableColumn id="1" xr3:uid="{00000000-0010-0000-2300-000001000000}" name="Component"/>
    <tableColumn id="2" xr3:uid="{00000000-0010-0000-2300-000002000000}" name="Feature_Code"/>
    <tableColumn id="3" xr3:uid="{00000000-0010-0000-2300-000003000000}" name="Valu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37" displayName="Table37" ref="A310:F312" totalsRowShown="0">
  <autoFilter ref="A310:F312" xr:uid="{00000000-0009-0000-0100-000025000000}"/>
  <tableColumns count="6">
    <tableColumn id="1" xr3:uid="{00000000-0010-0000-2400-000001000000}" name="Component"/>
    <tableColumn id="2" xr3:uid="{00000000-0010-0000-2400-000002000000}" name="Werkorder"/>
    <tableColumn id="3" xr3:uid="{00000000-0010-0000-2400-000003000000}" name="Taak"/>
    <tableColumn id="4" xr3:uid="{00000000-0010-0000-2400-000004000000}" name="Status"/>
    <tableColumn id="5" xr3:uid="{00000000-0010-0000-2400-000005000000}" name="PDF"/>
    <tableColumn id="6" xr3:uid="{00000000-0010-0000-2400-000006000000}" name="Excel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38" displayName="Table38" ref="A314:C327" totalsRowShown="0">
  <autoFilter ref="A314:C327" xr:uid="{00000000-0009-0000-0100-000026000000}"/>
  <tableColumns count="3">
    <tableColumn id="1" xr3:uid="{00000000-0010-0000-2500-000001000000}" name="Component"/>
    <tableColumn id="2" xr3:uid="{00000000-0010-0000-2500-000002000000}" name="Feature_Code"/>
    <tableColumn id="3" xr3:uid="{00000000-0010-0000-2500-000003000000}" name="Value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39" displayName="Table39" ref="A329:F331" totalsRowShown="0">
  <autoFilter ref="A329:F331" xr:uid="{00000000-0009-0000-0100-000027000000}"/>
  <tableColumns count="6">
    <tableColumn id="1" xr3:uid="{00000000-0010-0000-2600-000001000000}" name="Component"/>
    <tableColumn id="2" xr3:uid="{00000000-0010-0000-2600-000002000000}" name="Werkorder"/>
    <tableColumn id="3" xr3:uid="{00000000-0010-0000-2600-000003000000}" name="Taak"/>
    <tableColumn id="4" xr3:uid="{00000000-0010-0000-2600-000004000000}" name="Status"/>
    <tableColumn id="5" xr3:uid="{00000000-0010-0000-2600-000005000000}" name="PDF"/>
    <tableColumn id="6" xr3:uid="{00000000-0010-0000-2600-000006000000}" name="Excel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40" displayName="Table40" ref="A333:C345" totalsRowShown="0">
  <autoFilter ref="A333:C345" xr:uid="{00000000-0009-0000-0100-000028000000}"/>
  <tableColumns count="3">
    <tableColumn id="1" xr3:uid="{00000000-0010-0000-2700-000001000000}" name="Component"/>
    <tableColumn id="2" xr3:uid="{00000000-0010-0000-2700-000002000000}" name="Feature_Code"/>
    <tableColumn id="3" xr3:uid="{00000000-0010-0000-2700-000003000000}" name="Value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41" displayName="Table41" ref="A347:F349" totalsRowShown="0">
  <autoFilter ref="A347:F349" xr:uid="{00000000-0009-0000-0100-000029000000}"/>
  <tableColumns count="6">
    <tableColumn id="1" xr3:uid="{00000000-0010-0000-2800-000001000000}" name="Component"/>
    <tableColumn id="2" xr3:uid="{00000000-0010-0000-2800-000002000000}" name="Werkorder"/>
    <tableColumn id="3" xr3:uid="{00000000-0010-0000-2800-000003000000}" name="Taak"/>
    <tableColumn id="4" xr3:uid="{00000000-0010-0000-2800-000004000000}" name="Status"/>
    <tableColumn id="5" xr3:uid="{00000000-0010-0000-2800-000005000000}" name="PDF"/>
    <tableColumn id="6" xr3:uid="{00000000-0010-0000-2800-000006000000}" name="Excel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42" displayName="Table42" ref="A351:C363" totalsRowShown="0">
  <autoFilter ref="A351:C363" xr:uid="{00000000-0009-0000-0100-00002A000000}"/>
  <tableColumns count="3">
    <tableColumn id="1" xr3:uid="{00000000-0010-0000-2900-000001000000}" name="Component"/>
    <tableColumn id="2" xr3:uid="{00000000-0010-0000-2900-000002000000}" name="Feature_Code"/>
    <tableColumn id="3" xr3:uid="{00000000-0010-0000-2900-000003000000}" name="Value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43" displayName="Table43" ref="A365:F367" totalsRowShown="0">
  <autoFilter ref="A365:F367" xr:uid="{00000000-0009-0000-0100-00002B000000}"/>
  <tableColumns count="6">
    <tableColumn id="1" xr3:uid="{00000000-0010-0000-2A00-000001000000}" name="Component"/>
    <tableColumn id="2" xr3:uid="{00000000-0010-0000-2A00-000002000000}" name="Werkorder"/>
    <tableColumn id="3" xr3:uid="{00000000-0010-0000-2A00-000003000000}" name="Taak"/>
    <tableColumn id="4" xr3:uid="{00000000-0010-0000-2A00-000004000000}" name="Status"/>
    <tableColumn id="5" xr3:uid="{00000000-0010-0000-2A00-000005000000}" name="PDF"/>
    <tableColumn id="6" xr3:uid="{00000000-0010-0000-2A00-000006000000}" name="Excel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44" displayName="Table44" ref="A369:C382" totalsRowShown="0">
  <autoFilter ref="A369:C382" xr:uid="{00000000-0009-0000-0100-00002C000000}"/>
  <tableColumns count="3">
    <tableColumn id="1" xr3:uid="{00000000-0010-0000-2B00-000001000000}" name="Component"/>
    <tableColumn id="2" xr3:uid="{00000000-0010-0000-2B00-000002000000}" name="Feature_Code"/>
    <tableColumn id="3" xr3:uid="{00000000-0010-0000-2B00-000003000000}" name="Value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45" displayName="Table45" ref="A384:F386" totalsRowShown="0">
  <autoFilter ref="A384:F386" xr:uid="{00000000-0009-0000-0100-00002D000000}"/>
  <tableColumns count="6">
    <tableColumn id="1" xr3:uid="{00000000-0010-0000-2C00-000001000000}" name="Component"/>
    <tableColumn id="2" xr3:uid="{00000000-0010-0000-2C00-000002000000}" name="Werkorder"/>
    <tableColumn id="3" xr3:uid="{00000000-0010-0000-2C00-000003000000}" name="Taak"/>
    <tableColumn id="4" xr3:uid="{00000000-0010-0000-2C00-000004000000}" name="Status"/>
    <tableColumn id="5" xr3:uid="{00000000-0010-0000-2C00-000005000000}" name="PDF"/>
    <tableColumn id="6" xr3:uid="{00000000-0010-0000-2C00-000006000000}" name="Excel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46" displayName="Table46" ref="A388:C402" totalsRowShown="0">
  <autoFilter ref="A388:C402" xr:uid="{00000000-0009-0000-0100-00002E000000}"/>
  <tableColumns count="3">
    <tableColumn id="1" xr3:uid="{00000000-0010-0000-2D00-000001000000}" name="Component"/>
    <tableColumn id="2" xr3:uid="{00000000-0010-0000-2D00-000002000000}" name="Feature_Code"/>
    <tableColumn id="3" xr3:uid="{00000000-0010-0000-2D00-000003000000}" name="Value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47" displayName="Table47" ref="A404:F406" totalsRowShown="0">
  <autoFilter ref="A404:F406" xr:uid="{00000000-0009-0000-0100-00002F000000}"/>
  <tableColumns count="6">
    <tableColumn id="1" xr3:uid="{00000000-0010-0000-2E00-000001000000}" name="Component"/>
    <tableColumn id="2" xr3:uid="{00000000-0010-0000-2E00-000002000000}" name="Werkorder"/>
    <tableColumn id="3" xr3:uid="{00000000-0010-0000-2E00-000003000000}" name="Taak"/>
    <tableColumn id="4" xr3:uid="{00000000-0010-0000-2E00-000004000000}" name="Status"/>
    <tableColumn id="5" xr3:uid="{00000000-0010-0000-2E00-000005000000}" name="PDF"/>
    <tableColumn id="6" xr3:uid="{00000000-0010-0000-2E00-000006000000}" name="Excel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48" displayName="Table48" ref="A408:C422" totalsRowShown="0">
  <autoFilter ref="A408:C422" xr:uid="{00000000-0009-0000-0100-000030000000}"/>
  <tableColumns count="3">
    <tableColumn id="1" xr3:uid="{00000000-0010-0000-2F00-000001000000}" name="Component"/>
    <tableColumn id="2" xr3:uid="{00000000-0010-0000-2F00-000002000000}" name="Feature_Code"/>
    <tableColumn id="3" xr3:uid="{00000000-0010-0000-2F00-000003000000}" name="Value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49" displayName="Table49" ref="A424:F426" totalsRowShown="0">
  <autoFilter ref="A424:F426" xr:uid="{00000000-0009-0000-0100-000031000000}"/>
  <tableColumns count="6">
    <tableColumn id="1" xr3:uid="{00000000-0010-0000-3000-000001000000}" name="Component"/>
    <tableColumn id="2" xr3:uid="{00000000-0010-0000-3000-000002000000}" name="Werkorder"/>
    <tableColumn id="3" xr3:uid="{00000000-0010-0000-3000-000003000000}" name="Taak"/>
    <tableColumn id="4" xr3:uid="{00000000-0010-0000-3000-000004000000}" name="Status"/>
    <tableColumn id="5" xr3:uid="{00000000-0010-0000-3000-000005000000}" name="PDF"/>
    <tableColumn id="6" xr3:uid="{00000000-0010-0000-3000-000006000000}" name="Excel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50" displayName="Table50" ref="A428:C443" totalsRowShown="0">
  <autoFilter ref="A428:C443" xr:uid="{00000000-0009-0000-0100-000032000000}"/>
  <tableColumns count="3">
    <tableColumn id="1" xr3:uid="{00000000-0010-0000-3100-000001000000}" name="Component"/>
    <tableColumn id="2" xr3:uid="{00000000-0010-0000-3100-000002000000}" name="Feature_Code"/>
    <tableColumn id="3" xr3:uid="{00000000-0010-0000-3100-000003000000}" name="Value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51" displayName="Table51" ref="A445:F446" totalsRowShown="0">
  <autoFilter ref="A445:F446" xr:uid="{00000000-0009-0000-0100-000033000000}"/>
  <tableColumns count="6">
    <tableColumn id="1" xr3:uid="{00000000-0010-0000-3200-000001000000}" name="Component"/>
    <tableColumn id="2" xr3:uid="{00000000-0010-0000-3200-000002000000}" name="Werkorder"/>
    <tableColumn id="3" xr3:uid="{00000000-0010-0000-3200-000003000000}" name="Taak"/>
    <tableColumn id="4" xr3:uid="{00000000-0010-0000-3200-000004000000}" name="Status"/>
    <tableColumn id="5" xr3:uid="{00000000-0010-0000-3200-000005000000}" name="PDF"/>
    <tableColumn id="6" xr3:uid="{00000000-0010-0000-3200-000006000000}" name="Excel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52" displayName="Table52" ref="A448:C460" totalsRowShown="0">
  <autoFilter ref="A448:C460" xr:uid="{00000000-0009-0000-0100-000034000000}"/>
  <tableColumns count="3">
    <tableColumn id="1" xr3:uid="{00000000-0010-0000-3300-000001000000}" name="Component"/>
    <tableColumn id="2" xr3:uid="{00000000-0010-0000-3300-000002000000}" name="Feature_Code"/>
    <tableColumn id="3" xr3:uid="{00000000-0010-0000-3300-000003000000}" name="Value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53" displayName="Table53" ref="A462:F463" totalsRowShown="0">
  <autoFilter ref="A462:F463" xr:uid="{00000000-0009-0000-0100-000035000000}"/>
  <tableColumns count="6">
    <tableColumn id="1" xr3:uid="{00000000-0010-0000-3400-000001000000}" name="Component"/>
    <tableColumn id="2" xr3:uid="{00000000-0010-0000-3400-000002000000}" name="Werkorder"/>
    <tableColumn id="3" xr3:uid="{00000000-0010-0000-3400-000003000000}" name="Taak"/>
    <tableColumn id="4" xr3:uid="{00000000-0010-0000-3400-000004000000}" name="Status"/>
    <tableColumn id="5" xr3:uid="{00000000-0010-0000-3400-000005000000}" name="PDF"/>
    <tableColumn id="6" xr3:uid="{00000000-0010-0000-3400-000006000000}" name="Excel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54" displayName="Table54" ref="A465:C478" totalsRowShown="0">
  <autoFilter ref="A465:C478" xr:uid="{00000000-0009-0000-0100-000036000000}"/>
  <tableColumns count="3">
    <tableColumn id="1" xr3:uid="{00000000-0010-0000-3500-000001000000}" name="Component"/>
    <tableColumn id="2" xr3:uid="{00000000-0010-0000-3500-000002000000}" name="Feature_Code"/>
    <tableColumn id="3" xr3:uid="{00000000-0010-0000-3500-000003000000}" name="Value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le55" displayName="Table55" ref="A480:F481" totalsRowShown="0">
  <autoFilter ref="A480:F481" xr:uid="{00000000-0009-0000-0100-000037000000}"/>
  <tableColumns count="6">
    <tableColumn id="1" xr3:uid="{00000000-0010-0000-3600-000001000000}" name="Component"/>
    <tableColumn id="2" xr3:uid="{00000000-0010-0000-3600-000002000000}" name="Werkorder"/>
    <tableColumn id="3" xr3:uid="{00000000-0010-0000-3600-000003000000}" name="Taak"/>
    <tableColumn id="4" xr3:uid="{00000000-0010-0000-3600-000004000000}" name="Status"/>
    <tableColumn id="5" xr3:uid="{00000000-0010-0000-3600-000005000000}" name="PDF"/>
    <tableColumn id="6" xr3:uid="{00000000-0010-0000-3600-000006000000}" name="Excel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56" displayName="Table56" ref="A483:C496" totalsRowShown="0">
  <autoFilter ref="A483:C496" xr:uid="{00000000-0009-0000-0100-000038000000}"/>
  <tableColumns count="3">
    <tableColumn id="1" xr3:uid="{00000000-0010-0000-3700-000001000000}" name="Component"/>
    <tableColumn id="2" xr3:uid="{00000000-0010-0000-3700-000002000000}" name="Feature_Code"/>
    <tableColumn id="3" xr3:uid="{00000000-0010-0000-3700-000003000000}" name="Value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57" displayName="Table57" ref="A498:F499" totalsRowShown="0">
  <autoFilter ref="A498:F499" xr:uid="{00000000-0009-0000-0100-000039000000}"/>
  <tableColumns count="6">
    <tableColumn id="1" xr3:uid="{00000000-0010-0000-3800-000001000000}" name="Component"/>
    <tableColumn id="2" xr3:uid="{00000000-0010-0000-3800-000002000000}" name="Werkorder"/>
    <tableColumn id="3" xr3:uid="{00000000-0010-0000-3800-000003000000}" name="Taak"/>
    <tableColumn id="4" xr3:uid="{00000000-0010-0000-3800-000004000000}" name="Status"/>
    <tableColumn id="5" xr3:uid="{00000000-0010-0000-3800-000005000000}" name="PDF"/>
    <tableColumn id="6" xr3:uid="{00000000-0010-0000-3800-000006000000}" name="Excel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le58" displayName="Table58" ref="A501:C512" totalsRowShown="0">
  <autoFilter ref="A501:C512" xr:uid="{00000000-0009-0000-0100-00003A000000}"/>
  <tableColumns count="3">
    <tableColumn id="1" xr3:uid="{00000000-0010-0000-3900-000001000000}" name="Component"/>
    <tableColumn id="2" xr3:uid="{00000000-0010-0000-3900-000002000000}" name="Feature_Code"/>
    <tableColumn id="3" xr3:uid="{00000000-0010-0000-3900-000003000000}" name="Value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le59" displayName="Table59" ref="A514:F515" totalsRowShown="0">
  <autoFilter ref="A514:F515" xr:uid="{00000000-0009-0000-0100-00003B000000}"/>
  <tableColumns count="6">
    <tableColumn id="1" xr3:uid="{00000000-0010-0000-3A00-000001000000}" name="Component"/>
    <tableColumn id="2" xr3:uid="{00000000-0010-0000-3A00-000002000000}" name="Werkorder"/>
    <tableColumn id="3" xr3:uid="{00000000-0010-0000-3A00-000003000000}" name="Taak"/>
    <tableColumn id="4" xr3:uid="{00000000-0010-0000-3A00-000004000000}" name="Status"/>
    <tableColumn id="5" xr3:uid="{00000000-0010-0000-3A00-000005000000}" name="PDF"/>
    <tableColumn id="6" xr3:uid="{00000000-0010-0000-3A00-000006000000}" name="Excel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60" displayName="Table60" ref="A517:C528" totalsRowShown="0">
  <autoFilter ref="A517:C528" xr:uid="{00000000-0009-0000-0100-00003C000000}"/>
  <tableColumns count="3">
    <tableColumn id="1" xr3:uid="{00000000-0010-0000-3B00-000001000000}" name="Component"/>
    <tableColumn id="2" xr3:uid="{00000000-0010-0000-3B00-000002000000}" name="Feature_Code"/>
    <tableColumn id="3" xr3:uid="{00000000-0010-0000-3B00-000003000000}" name="Value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le61" displayName="Table61" ref="A530:F531" totalsRowShown="0">
  <autoFilter ref="A530:F531" xr:uid="{00000000-0009-0000-0100-00003D000000}"/>
  <tableColumns count="6">
    <tableColumn id="1" xr3:uid="{00000000-0010-0000-3C00-000001000000}" name="Component"/>
    <tableColumn id="2" xr3:uid="{00000000-0010-0000-3C00-000002000000}" name="Werkorder"/>
    <tableColumn id="3" xr3:uid="{00000000-0010-0000-3C00-000003000000}" name="Taak"/>
    <tableColumn id="4" xr3:uid="{00000000-0010-0000-3C00-000004000000}" name="Status"/>
    <tableColumn id="5" xr3:uid="{00000000-0010-0000-3C00-000005000000}" name="PDF"/>
    <tableColumn id="6" xr3:uid="{00000000-0010-0000-3C00-000006000000}" name="Excel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le62" displayName="Table62" ref="A533:C544" totalsRowShown="0">
  <autoFilter ref="A533:C544" xr:uid="{00000000-0009-0000-0100-00003E000000}"/>
  <tableColumns count="3">
    <tableColumn id="1" xr3:uid="{00000000-0010-0000-3D00-000001000000}" name="Component"/>
    <tableColumn id="2" xr3:uid="{00000000-0010-0000-3D00-000002000000}" name="Feature_Code"/>
    <tableColumn id="3" xr3:uid="{00000000-0010-0000-3D00-000003000000}" name="Value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able63" displayName="Table63" ref="A546:F547" totalsRowShown="0">
  <autoFilter ref="A546:F547" xr:uid="{00000000-0009-0000-0100-00003F000000}"/>
  <tableColumns count="6">
    <tableColumn id="1" xr3:uid="{00000000-0010-0000-3E00-000001000000}" name="Component"/>
    <tableColumn id="2" xr3:uid="{00000000-0010-0000-3E00-000002000000}" name="Werkorder"/>
    <tableColumn id="3" xr3:uid="{00000000-0010-0000-3E00-000003000000}" name="Taak"/>
    <tableColumn id="4" xr3:uid="{00000000-0010-0000-3E00-000004000000}" name="Status"/>
    <tableColumn id="5" xr3:uid="{00000000-0010-0000-3E00-000005000000}" name="PDF"/>
    <tableColumn id="6" xr3:uid="{00000000-0010-0000-3E00-000006000000}" name="Excel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le64" displayName="Table64" ref="A549:C560" totalsRowShown="0">
  <autoFilter ref="A549:C560" xr:uid="{00000000-0009-0000-0100-000040000000}"/>
  <tableColumns count="3">
    <tableColumn id="1" xr3:uid="{00000000-0010-0000-3F00-000001000000}" name="Component"/>
    <tableColumn id="2" xr3:uid="{00000000-0010-0000-3F00-000002000000}" name="Feature_Code"/>
    <tableColumn id="3" xr3:uid="{00000000-0010-0000-3F00-000003000000}" name="Value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Table65" displayName="Table65" ref="A562:F563" totalsRowShown="0">
  <autoFilter ref="A562:F563" xr:uid="{00000000-0009-0000-0100-000041000000}"/>
  <tableColumns count="6">
    <tableColumn id="1" xr3:uid="{00000000-0010-0000-4000-000001000000}" name="Component"/>
    <tableColumn id="2" xr3:uid="{00000000-0010-0000-4000-000002000000}" name="Werkorder"/>
    <tableColumn id="3" xr3:uid="{00000000-0010-0000-4000-000003000000}" name="Taak"/>
    <tableColumn id="4" xr3:uid="{00000000-0010-0000-4000-000004000000}" name="Status"/>
    <tableColumn id="5" xr3:uid="{00000000-0010-0000-4000-000005000000}" name="PDF"/>
    <tableColumn id="6" xr3:uid="{00000000-0010-0000-4000-000006000000}" name="Excel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able66" displayName="Table66" ref="A565:C576" totalsRowShown="0">
  <autoFilter ref="A565:C576" xr:uid="{00000000-0009-0000-0100-000042000000}"/>
  <tableColumns count="3">
    <tableColumn id="1" xr3:uid="{00000000-0010-0000-4100-000001000000}" name="Component"/>
    <tableColumn id="2" xr3:uid="{00000000-0010-0000-4100-000002000000}" name="Feature_Code"/>
    <tableColumn id="3" xr3:uid="{00000000-0010-0000-4100-000003000000}" name="Value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able67" displayName="Table67" ref="A578:F579" totalsRowShown="0">
  <autoFilter ref="A578:F579" xr:uid="{00000000-0009-0000-0100-000043000000}"/>
  <tableColumns count="6">
    <tableColumn id="1" xr3:uid="{00000000-0010-0000-4200-000001000000}" name="Component"/>
    <tableColumn id="2" xr3:uid="{00000000-0010-0000-4200-000002000000}" name="Werkorder"/>
    <tableColumn id="3" xr3:uid="{00000000-0010-0000-4200-000003000000}" name="Taak"/>
    <tableColumn id="4" xr3:uid="{00000000-0010-0000-4200-000004000000}" name="Status"/>
    <tableColumn id="5" xr3:uid="{00000000-0010-0000-4200-000005000000}" name="PDF"/>
    <tableColumn id="6" xr3:uid="{00000000-0010-0000-4200-000006000000}" name="Excel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Table68" displayName="Table68" ref="A581:C592" totalsRowShown="0">
  <autoFilter ref="A581:C592" xr:uid="{00000000-0009-0000-0100-000044000000}"/>
  <tableColumns count="3">
    <tableColumn id="1" xr3:uid="{00000000-0010-0000-4300-000001000000}" name="Component"/>
    <tableColumn id="2" xr3:uid="{00000000-0010-0000-4300-000002000000}" name="Feature_Code"/>
    <tableColumn id="3" xr3:uid="{00000000-0010-0000-4300-000003000000}" name="Value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Table69" displayName="Table69" ref="A594:F595" totalsRowShown="0">
  <autoFilter ref="A594:F595" xr:uid="{00000000-0009-0000-0100-000045000000}"/>
  <tableColumns count="6">
    <tableColumn id="1" xr3:uid="{00000000-0010-0000-4400-000001000000}" name="Component"/>
    <tableColumn id="2" xr3:uid="{00000000-0010-0000-4400-000002000000}" name="Werkorder"/>
    <tableColumn id="3" xr3:uid="{00000000-0010-0000-4400-000003000000}" name="Taak"/>
    <tableColumn id="4" xr3:uid="{00000000-0010-0000-4400-000004000000}" name="Status"/>
    <tableColumn id="5" xr3:uid="{00000000-0010-0000-4400-000005000000}" name="PDF"/>
    <tableColumn id="6" xr3:uid="{00000000-0010-0000-4400-000006000000}" name="Exc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26.xml"/><Relationship Id="rId21" Type="http://schemas.openxmlformats.org/officeDocument/2006/relationships/table" Target="../tables/table21.xml"/><Relationship Id="rId42" Type="http://schemas.openxmlformats.org/officeDocument/2006/relationships/table" Target="../tables/table42.xml"/><Relationship Id="rId47" Type="http://schemas.openxmlformats.org/officeDocument/2006/relationships/table" Target="../tables/table47.xml"/><Relationship Id="rId63" Type="http://schemas.openxmlformats.org/officeDocument/2006/relationships/table" Target="../tables/table63.xml"/><Relationship Id="rId68" Type="http://schemas.openxmlformats.org/officeDocument/2006/relationships/table" Target="../tables/table68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9" Type="http://schemas.openxmlformats.org/officeDocument/2006/relationships/table" Target="../tables/table29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40" Type="http://schemas.openxmlformats.org/officeDocument/2006/relationships/table" Target="../tables/table40.xml"/><Relationship Id="rId45" Type="http://schemas.openxmlformats.org/officeDocument/2006/relationships/table" Target="../tables/table45.xml"/><Relationship Id="rId53" Type="http://schemas.openxmlformats.org/officeDocument/2006/relationships/table" Target="../tables/table53.xml"/><Relationship Id="rId58" Type="http://schemas.openxmlformats.org/officeDocument/2006/relationships/table" Target="../tables/table58.xml"/><Relationship Id="rId66" Type="http://schemas.openxmlformats.org/officeDocument/2006/relationships/table" Target="../tables/table66.xml"/><Relationship Id="rId5" Type="http://schemas.openxmlformats.org/officeDocument/2006/relationships/table" Target="../tables/table5.xml"/><Relationship Id="rId61" Type="http://schemas.openxmlformats.org/officeDocument/2006/relationships/table" Target="../tables/table61.xml"/><Relationship Id="rId19" Type="http://schemas.openxmlformats.org/officeDocument/2006/relationships/table" Target="../tables/table1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43" Type="http://schemas.openxmlformats.org/officeDocument/2006/relationships/table" Target="../tables/table43.xml"/><Relationship Id="rId48" Type="http://schemas.openxmlformats.org/officeDocument/2006/relationships/table" Target="../tables/table48.xml"/><Relationship Id="rId56" Type="http://schemas.openxmlformats.org/officeDocument/2006/relationships/table" Target="../tables/table56.xml"/><Relationship Id="rId64" Type="http://schemas.openxmlformats.org/officeDocument/2006/relationships/table" Target="../tables/table64.xml"/><Relationship Id="rId69" Type="http://schemas.openxmlformats.org/officeDocument/2006/relationships/table" Target="../tables/table69.xml"/><Relationship Id="rId8" Type="http://schemas.openxmlformats.org/officeDocument/2006/relationships/table" Target="../tables/table8.xml"/><Relationship Id="rId51" Type="http://schemas.openxmlformats.org/officeDocument/2006/relationships/table" Target="../tables/table51.xml"/><Relationship Id="rId3" Type="http://schemas.openxmlformats.org/officeDocument/2006/relationships/table" Target="../tables/table3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Relationship Id="rId46" Type="http://schemas.openxmlformats.org/officeDocument/2006/relationships/table" Target="../tables/table46.xml"/><Relationship Id="rId59" Type="http://schemas.openxmlformats.org/officeDocument/2006/relationships/table" Target="../tables/table59.xml"/><Relationship Id="rId67" Type="http://schemas.openxmlformats.org/officeDocument/2006/relationships/table" Target="../tables/table67.xml"/><Relationship Id="rId20" Type="http://schemas.openxmlformats.org/officeDocument/2006/relationships/table" Target="../tables/table20.xml"/><Relationship Id="rId41" Type="http://schemas.openxmlformats.org/officeDocument/2006/relationships/table" Target="../tables/table41.xml"/><Relationship Id="rId54" Type="http://schemas.openxmlformats.org/officeDocument/2006/relationships/table" Target="../tables/table54.xml"/><Relationship Id="rId62" Type="http://schemas.openxmlformats.org/officeDocument/2006/relationships/table" Target="../tables/table6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49" Type="http://schemas.openxmlformats.org/officeDocument/2006/relationships/table" Target="../tables/table49.xml"/><Relationship Id="rId57" Type="http://schemas.openxmlformats.org/officeDocument/2006/relationships/table" Target="../tables/table57.xml"/><Relationship Id="rId10" Type="http://schemas.openxmlformats.org/officeDocument/2006/relationships/table" Target="../tables/table10.xml"/><Relationship Id="rId31" Type="http://schemas.openxmlformats.org/officeDocument/2006/relationships/table" Target="../tables/table31.xml"/><Relationship Id="rId44" Type="http://schemas.openxmlformats.org/officeDocument/2006/relationships/table" Target="../tables/table44.xml"/><Relationship Id="rId52" Type="http://schemas.openxmlformats.org/officeDocument/2006/relationships/table" Target="../tables/table52.xml"/><Relationship Id="rId60" Type="http://schemas.openxmlformats.org/officeDocument/2006/relationships/table" Target="../tables/table60.xml"/><Relationship Id="rId65" Type="http://schemas.openxmlformats.org/officeDocument/2006/relationships/table" Target="../tables/table6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9" Type="http://schemas.openxmlformats.org/officeDocument/2006/relationships/table" Target="../tables/table39.xml"/><Relationship Id="rId34" Type="http://schemas.openxmlformats.org/officeDocument/2006/relationships/table" Target="../tables/table34.xml"/><Relationship Id="rId50" Type="http://schemas.openxmlformats.org/officeDocument/2006/relationships/table" Target="../tables/table50.xml"/><Relationship Id="rId55" Type="http://schemas.openxmlformats.org/officeDocument/2006/relationships/table" Target="../tables/table5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5"/>
  <sheetViews>
    <sheetView tabSelected="1" workbookViewId="0">
      <selection activeCell="C23" sqref="C23"/>
    </sheetView>
  </sheetViews>
  <sheetFormatPr defaultRowHeight="15" x14ac:dyDescent="0.25"/>
  <cols>
    <col min="1" max="1" width="17.85546875" customWidth="1"/>
    <col min="2" max="2" width="26.140625" customWidth="1"/>
    <col min="3" max="3" width="20.42578125" customWidth="1"/>
    <col min="4" max="4" width="18.42578125" customWidth="1"/>
    <col min="5" max="5" width="6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</row>
    <row r="3" spans="1:3" x14ac:dyDescent="0.25">
      <c r="A3" t="s">
        <v>4</v>
      </c>
      <c r="B3" t="s">
        <v>5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13</v>
      </c>
    </row>
    <row r="8" spans="1:3" x14ac:dyDescent="0.25">
      <c r="A8" t="s">
        <v>14</v>
      </c>
      <c r="B8" t="s">
        <v>15</v>
      </c>
    </row>
    <row r="9" spans="1:3" x14ac:dyDescent="0.25">
      <c r="A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20</v>
      </c>
      <c r="B12" t="s">
        <v>23</v>
      </c>
      <c r="C12" t="s">
        <v>24</v>
      </c>
    </row>
    <row r="13" spans="1:3" x14ac:dyDescent="0.25">
      <c r="A13" t="s">
        <v>20</v>
      </c>
      <c r="B13" t="s">
        <v>25</v>
      </c>
      <c r="C13" t="s">
        <v>26</v>
      </c>
    </row>
    <row r="14" spans="1:3" x14ac:dyDescent="0.25">
      <c r="A14" t="s">
        <v>20</v>
      </c>
      <c r="B14" t="s">
        <v>27</v>
      </c>
      <c r="C14" t="s">
        <v>28</v>
      </c>
    </row>
    <row r="15" spans="1:3" x14ac:dyDescent="0.25">
      <c r="A15" t="s">
        <v>20</v>
      </c>
      <c r="B15" t="s">
        <v>29</v>
      </c>
      <c r="C15" t="s">
        <v>30</v>
      </c>
    </row>
    <row r="16" spans="1:3" x14ac:dyDescent="0.25">
      <c r="A16" t="s">
        <v>20</v>
      </c>
      <c r="B16" t="s">
        <v>31</v>
      </c>
      <c r="C16" t="s">
        <v>32</v>
      </c>
    </row>
    <row r="17" spans="1:6" x14ac:dyDescent="0.25">
      <c r="A17" t="s">
        <v>20</v>
      </c>
      <c r="B17" t="s">
        <v>33</v>
      </c>
      <c r="C17" t="s">
        <v>34</v>
      </c>
    </row>
    <row r="18" spans="1:6" x14ac:dyDescent="0.25">
      <c r="A18" t="s">
        <v>20</v>
      </c>
      <c r="B18" t="s">
        <v>35</v>
      </c>
      <c r="C18" t="s">
        <v>36</v>
      </c>
    </row>
    <row r="19" spans="1:6" x14ac:dyDescent="0.25">
      <c r="A19" t="s">
        <v>20</v>
      </c>
      <c r="B19" t="s">
        <v>37</v>
      </c>
      <c r="C19" t="s">
        <v>38</v>
      </c>
    </row>
    <row r="20" spans="1:6" x14ac:dyDescent="0.25">
      <c r="A20" t="s">
        <v>20</v>
      </c>
      <c r="B20" t="s">
        <v>39</v>
      </c>
      <c r="C20" t="s">
        <v>40</v>
      </c>
    </row>
    <row r="21" spans="1:6" x14ac:dyDescent="0.25">
      <c r="A21" t="s">
        <v>20</v>
      </c>
      <c r="B21" t="s">
        <v>41</v>
      </c>
      <c r="C21" t="s">
        <v>42</v>
      </c>
    </row>
    <row r="22" spans="1:6" x14ac:dyDescent="0.25">
      <c r="A22" t="s">
        <v>16</v>
      </c>
    </row>
    <row r="23" spans="1:6" x14ac:dyDescent="0.25">
      <c r="A23" t="s">
        <v>17</v>
      </c>
      <c r="B23" t="s">
        <v>43</v>
      </c>
      <c r="C23" t="s">
        <v>44</v>
      </c>
      <c r="D23" t="s">
        <v>8</v>
      </c>
      <c r="E23" t="s">
        <v>45</v>
      </c>
      <c r="F23" t="s">
        <v>46</v>
      </c>
    </row>
    <row r="24" spans="1:6" x14ac:dyDescent="0.25">
      <c r="A24" t="s">
        <v>20</v>
      </c>
      <c r="B24" t="s">
        <v>47</v>
      </c>
      <c r="C24" t="s">
        <v>48</v>
      </c>
      <c r="D24" t="s">
        <v>49</v>
      </c>
      <c r="E24" t="str">
        <f>HYPERLINK("https://kvtnl.sharepoint.com/sites/BCDocumentRepository/Equipment/10025599_EdgeConnex-AMS05 GE-1-GENAA100 SET/100_SERV_REP_PDF/10025599_20260414_WO2601489_EdgeConnex-AMS05 GE-1-GENAA100 SET_146H_QOH_1588.pdf","PDF")</f>
        <v>PDF</v>
      </c>
      <c r="F24" t="str">
        <f>HYPERLINK("https://kvtnl.sharepoint.com/sites/BCDocumentRepository/Equipment/10025599_EdgeConnex-AMS05 GE-1-GENAA100 SET/101_SERV_REP_EXCEL/10025599_20260414_WO2601489_146H_QOH_1588.xlsm","Excel")</f>
        <v>Excel</v>
      </c>
    </row>
    <row r="25" spans="1:6" x14ac:dyDescent="0.25">
      <c r="A25" t="s">
        <v>16</v>
      </c>
    </row>
    <row r="26" spans="1:6" x14ac:dyDescent="0.25">
      <c r="A26" t="s">
        <v>17</v>
      </c>
      <c r="B26" t="s">
        <v>18</v>
      </c>
      <c r="C26" t="s">
        <v>19</v>
      </c>
    </row>
    <row r="27" spans="1:6" x14ac:dyDescent="0.25">
      <c r="A27" t="s">
        <v>50</v>
      </c>
      <c r="B27" t="s">
        <v>21</v>
      </c>
      <c r="C27" t="s">
        <v>22</v>
      </c>
    </row>
    <row r="28" spans="1:6" x14ac:dyDescent="0.25">
      <c r="A28" t="s">
        <v>50</v>
      </c>
      <c r="B28" t="s">
        <v>23</v>
      </c>
      <c r="C28" t="s">
        <v>51</v>
      </c>
    </row>
    <row r="29" spans="1:6" x14ac:dyDescent="0.25">
      <c r="A29" t="s">
        <v>50</v>
      </c>
      <c r="B29" t="s">
        <v>25</v>
      </c>
      <c r="C29" t="s">
        <v>26</v>
      </c>
    </row>
    <row r="30" spans="1:6" x14ac:dyDescent="0.25">
      <c r="A30" t="s">
        <v>50</v>
      </c>
      <c r="B30" t="s">
        <v>27</v>
      </c>
      <c r="C30" t="s">
        <v>28</v>
      </c>
    </row>
    <row r="31" spans="1:6" x14ac:dyDescent="0.25">
      <c r="A31" t="s">
        <v>50</v>
      </c>
      <c r="B31" t="s">
        <v>29</v>
      </c>
      <c r="C31" t="s">
        <v>52</v>
      </c>
    </row>
    <row r="32" spans="1:6" x14ac:dyDescent="0.25">
      <c r="A32" t="s">
        <v>50</v>
      </c>
      <c r="B32" t="s">
        <v>31</v>
      </c>
      <c r="C32" t="s">
        <v>32</v>
      </c>
    </row>
    <row r="33" spans="1:6" x14ac:dyDescent="0.25">
      <c r="A33" t="s">
        <v>50</v>
      </c>
      <c r="B33" t="s">
        <v>33</v>
      </c>
      <c r="C33" t="s">
        <v>34</v>
      </c>
    </row>
    <row r="34" spans="1:6" x14ac:dyDescent="0.25">
      <c r="A34" t="s">
        <v>50</v>
      </c>
      <c r="B34" t="s">
        <v>35</v>
      </c>
      <c r="C34" t="s">
        <v>36</v>
      </c>
    </row>
    <row r="35" spans="1:6" x14ac:dyDescent="0.25">
      <c r="A35" t="s">
        <v>50</v>
      </c>
      <c r="B35" t="s">
        <v>37</v>
      </c>
      <c r="C35" t="s">
        <v>38</v>
      </c>
    </row>
    <row r="36" spans="1:6" x14ac:dyDescent="0.25">
      <c r="A36" t="s">
        <v>50</v>
      </c>
      <c r="B36" t="s">
        <v>39</v>
      </c>
      <c r="C36" t="s">
        <v>53</v>
      </c>
    </row>
    <row r="37" spans="1:6" x14ac:dyDescent="0.25">
      <c r="A37" t="s">
        <v>50</v>
      </c>
      <c r="B37" t="s">
        <v>41</v>
      </c>
      <c r="C37" t="s">
        <v>42</v>
      </c>
    </row>
    <row r="38" spans="1:6" x14ac:dyDescent="0.25">
      <c r="A38" t="s">
        <v>16</v>
      </c>
    </row>
    <row r="39" spans="1:6" x14ac:dyDescent="0.25">
      <c r="A39" t="s">
        <v>17</v>
      </c>
      <c r="B39" t="s">
        <v>43</v>
      </c>
      <c r="C39" t="s">
        <v>44</v>
      </c>
      <c r="D39" t="s">
        <v>8</v>
      </c>
      <c r="E39" t="s">
        <v>45</v>
      </c>
      <c r="F39" t="s">
        <v>46</v>
      </c>
    </row>
    <row r="40" spans="1:6" x14ac:dyDescent="0.25">
      <c r="A40" t="s">
        <v>50</v>
      </c>
      <c r="B40" t="s">
        <v>54</v>
      </c>
      <c r="C40" t="s">
        <v>48</v>
      </c>
      <c r="D40" t="s">
        <v>49</v>
      </c>
      <c r="E40" t="str">
        <f>HYPERLINK("https://kvtnl.sharepoint.com/sites/BCDocumentRepository/Equipment/10025600_EdgeConnex-AMS05 GE-2-GENAB100 SET/100_SERV_REP_PDF/10025600_20260414_WO2601498_EdgeConnex-AMS05 GE-2-GENAB100 SET_139H_QOH_1588.pdf","PDF")</f>
        <v>PDF</v>
      </c>
      <c r="F40" t="str">
        <f>HYPERLINK("https://kvtnl.sharepoint.com/sites/BCDocumentRepository/Equipment/10025600_EdgeConnex-AMS05 GE-2-GENAB100 SET/101_SERV_REP_EXCEL/10025600_20260414_WO2601498_139H_QOH_1588.xlsm","Excel")</f>
        <v>Excel</v>
      </c>
    </row>
    <row r="41" spans="1:6" x14ac:dyDescent="0.25">
      <c r="A41" t="s">
        <v>16</v>
      </c>
    </row>
    <row r="42" spans="1:6" x14ac:dyDescent="0.25">
      <c r="A42" t="s">
        <v>17</v>
      </c>
      <c r="B42" t="s">
        <v>18</v>
      </c>
      <c r="C42" t="s">
        <v>19</v>
      </c>
    </row>
    <row r="43" spans="1:6" x14ac:dyDescent="0.25">
      <c r="A43" t="s">
        <v>55</v>
      </c>
      <c r="B43" t="s">
        <v>21</v>
      </c>
      <c r="C43" t="s">
        <v>22</v>
      </c>
    </row>
    <row r="44" spans="1:6" x14ac:dyDescent="0.25">
      <c r="A44" t="s">
        <v>55</v>
      </c>
      <c r="B44" t="s">
        <v>23</v>
      </c>
      <c r="C44" t="s">
        <v>24</v>
      </c>
    </row>
    <row r="45" spans="1:6" x14ac:dyDescent="0.25">
      <c r="A45" t="s">
        <v>55</v>
      </c>
      <c r="B45" t="s">
        <v>25</v>
      </c>
      <c r="C45" t="s">
        <v>26</v>
      </c>
    </row>
    <row r="46" spans="1:6" x14ac:dyDescent="0.25">
      <c r="A46" t="s">
        <v>55</v>
      </c>
      <c r="B46" t="s">
        <v>27</v>
      </c>
      <c r="C46" t="s">
        <v>28</v>
      </c>
    </row>
    <row r="47" spans="1:6" x14ac:dyDescent="0.25">
      <c r="A47" t="s">
        <v>55</v>
      </c>
      <c r="B47" t="s">
        <v>29</v>
      </c>
      <c r="C47" t="s">
        <v>30</v>
      </c>
    </row>
    <row r="48" spans="1:6" x14ac:dyDescent="0.25">
      <c r="A48" t="s">
        <v>55</v>
      </c>
      <c r="B48" t="s">
        <v>31</v>
      </c>
      <c r="C48" t="s">
        <v>32</v>
      </c>
    </row>
    <row r="49" spans="1:6" x14ac:dyDescent="0.25">
      <c r="A49" t="s">
        <v>55</v>
      </c>
      <c r="B49" t="s">
        <v>33</v>
      </c>
      <c r="C49" t="s">
        <v>34</v>
      </c>
    </row>
    <row r="50" spans="1:6" x14ac:dyDescent="0.25">
      <c r="A50" t="s">
        <v>55</v>
      </c>
      <c r="B50" t="s">
        <v>35</v>
      </c>
      <c r="C50" t="s">
        <v>36</v>
      </c>
    </row>
    <row r="51" spans="1:6" x14ac:dyDescent="0.25">
      <c r="A51" t="s">
        <v>55</v>
      </c>
      <c r="B51" t="s">
        <v>37</v>
      </c>
      <c r="C51" t="s">
        <v>38</v>
      </c>
    </row>
    <row r="52" spans="1:6" x14ac:dyDescent="0.25">
      <c r="A52" t="s">
        <v>55</v>
      </c>
      <c r="B52" t="s">
        <v>39</v>
      </c>
      <c r="C52" t="s">
        <v>53</v>
      </c>
    </row>
    <row r="53" spans="1:6" x14ac:dyDescent="0.25">
      <c r="A53" t="s">
        <v>55</v>
      </c>
      <c r="B53" t="s">
        <v>41</v>
      </c>
      <c r="C53" t="s">
        <v>56</v>
      </c>
    </row>
    <row r="54" spans="1:6" x14ac:dyDescent="0.25">
      <c r="A54" t="s">
        <v>16</v>
      </c>
    </row>
    <row r="55" spans="1:6" x14ac:dyDescent="0.25">
      <c r="A55" t="s">
        <v>17</v>
      </c>
      <c r="B55" t="s">
        <v>43</v>
      </c>
      <c r="C55" t="s">
        <v>44</v>
      </c>
      <c r="D55" t="s">
        <v>8</v>
      </c>
      <c r="E55" t="s">
        <v>45</v>
      </c>
      <c r="F55" t="s">
        <v>46</v>
      </c>
    </row>
    <row r="56" spans="1:6" x14ac:dyDescent="0.25">
      <c r="A56" t="s">
        <v>55</v>
      </c>
      <c r="B56" t="s">
        <v>57</v>
      </c>
      <c r="C56" t="s">
        <v>48</v>
      </c>
      <c r="D56" t="s">
        <v>49</v>
      </c>
      <c r="E56" t="str">
        <f>HYPERLINK("https://kvtnl.sharepoint.com/sites/BCDocumentRepository/Equipment/10025601_EdgeConnex-AMS05 GE-3-GENAC100 SET/100_SERV_REP_PDF/10025601_20260413_WO2601509_EdgeConnex-AMS05 GE-3-GENAC100 SET_134H_QOH_1588.pdf","PDF")</f>
        <v>PDF</v>
      </c>
      <c r="F56" t="str">
        <f>HYPERLINK("https://kvtnl.sharepoint.com/sites/BCDocumentRepository/Equipment/10025601_EdgeConnex-AMS05 GE-3-GENAC100 SET/101_SERV_REP_EXCEL/10025601_20260413_WO2601509_134H_QOH_1588.xlsm","Excel")</f>
        <v>Excel</v>
      </c>
    </row>
    <row r="57" spans="1:6" x14ac:dyDescent="0.25">
      <c r="A57" t="s">
        <v>16</v>
      </c>
    </row>
    <row r="58" spans="1:6" x14ac:dyDescent="0.25">
      <c r="A58" t="s">
        <v>17</v>
      </c>
      <c r="B58" t="s">
        <v>18</v>
      </c>
      <c r="C58" t="s">
        <v>19</v>
      </c>
    </row>
    <row r="59" spans="1:6" x14ac:dyDescent="0.25">
      <c r="A59" t="s">
        <v>58</v>
      </c>
      <c r="B59" t="s">
        <v>21</v>
      </c>
      <c r="C59" t="s">
        <v>22</v>
      </c>
    </row>
    <row r="60" spans="1:6" x14ac:dyDescent="0.25">
      <c r="A60" t="s">
        <v>58</v>
      </c>
      <c r="B60" t="s">
        <v>23</v>
      </c>
      <c r="C60" t="s">
        <v>24</v>
      </c>
    </row>
    <row r="61" spans="1:6" x14ac:dyDescent="0.25">
      <c r="A61" t="s">
        <v>58</v>
      </c>
      <c r="B61" t="s">
        <v>25</v>
      </c>
      <c r="C61" t="s">
        <v>26</v>
      </c>
    </row>
    <row r="62" spans="1:6" x14ac:dyDescent="0.25">
      <c r="A62" t="s">
        <v>58</v>
      </c>
      <c r="B62" t="s">
        <v>27</v>
      </c>
      <c r="C62" t="s">
        <v>28</v>
      </c>
    </row>
    <row r="63" spans="1:6" x14ac:dyDescent="0.25">
      <c r="A63" t="s">
        <v>58</v>
      </c>
      <c r="B63" t="s">
        <v>29</v>
      </c>
      <c r="C63" t="s">
        <v>30</v>
      </c>
    </row>
    <row r="64" spans="1:6" x14ac:dyDescent="0.25">
      <c r="A64" t="s">
        <v>58</v>
      </c>
      <c r="B64" t="s">
        <v>31</v>
      </c>
      <c r="C64" t="s">
        <v>32</v>
      </c>
    </row>
    <row r="65" spans="1:6" x14ac:dyDescent="0.25">
      <c r="A65" t="s">
        <v>58</v>
      </c>
      <c r="B65" t="s">
        <v>33</v>
      </c>
      <c r="C65" t="s">
        <v>34</v>
      </c>
    </row>
    <row r="66" spans="1:6" x14ac:dyDescent="0.25">
      <c r="A66" t="s">
        <v>58</v>
      </c>
      <c r="B66" t="s">
        <v>35</v>
      </c>
      <c r="C66" t="s">
        <v>36</v>
      </c>
    </row>
    <row r="67" spans="1:6" x14ac:dyDescent="0.25">
      <c r="A67" t="s">
        <v>58</v>
      </c>
      <c r="B67" t="s">
        <v>37</v>
      </c>
      <c r="C67" t="s">
        <v>38</v>
      </c>
    </row>
    <row r="68" spans="1:6" x14ac:dyDescent="0.25">
      <c r="A68" t="s">
        <v>58</v>
      </c>
      <c r="B68" t="s">
        <v>39</v>
      </c>
      <c r="C68" t="s">
        <v>53</v>
      </c>
    </row>
    <row r="69" spans="1:6" x14ac:dyDescent="0.25">
      <c r="A69" t="s">
        <v>58</v>
      </c>
      <c r="B69" t="s">
        <v>41</v>
      </c>
      <c r="C69" t="s">
        <v>42</v>
      </c>
    </row>
    <row r="70" spans="1:6" x14ac:dyDescent="0.25">
      <c r="A70" t="s">
        <v>16</v>
      </c>
    </row>
    <row r="71" spans="1:6" x14ac:dyDescent="0.25">
      <c r="A71" t="s">
        <v>17</v>
      </c>
      <c r="B71" t="s">
        <v>43</v>
      </c>
      <c r="C71" t="s">
        <v>44</v>
      </c>
      <c r="D71" t="s">
        <v>8</v>
      </c>
      <c r="E71" t="s">
        <v>45</v>
      </c>
      <c r="F71" t="s">
        <v>46</v>
      </c>
    </row>
    <row r="72" spans="1:6" x14ac:dyDescent="0.25">
      <c r="A72" t="s">
        <v>58</v>
      </c>
      <c r="B72" t="s">
        <v>59</v>
      </c>
      <c r="C72" t="s">
        <v>48</v>
      </c>
      <c r="D72" t="s">
        <v>49</v>
      </c>
      <c r="E72" t="str">
        <f>HYPERLINK("https://kvtnl.sharepoint.com/sites/BCDocumentRepository/Equipment/10025602_EdgeConnex-AMS05 GE-4-GENAD100 SET/100_SERV_REP_PDF/10025602_20260413_WO2601520_EdgeConnex-AMS05 GE-4-GENAD100 SET_144H_QOH_1588.pdf","PDF")</f>
        <v>PDF</v>
      </c>
      <c r="F72" t="str">
        <f>HYPERLINK("https://kvtnl.sharepoint.com/sites/BCDocumentRepository/Equipment/10025602_EdgeConnex-AMS05 GE-4-GENAD100 SET/101_SERV_REP_EXCEL/10025602_20260413_WO2601520_144H_QOH_1588.xlsm","Excel")</f>
        <v>Excel</v>
      </c>
    </row>
    <row r="73" spans="1:6" x14ac:dyDescent="0.25">
      <c r="A73" t="s">
        <v>16</v>
      </c>
    </row>
    <row r="74" spans="1:6" x14ac:dyDescent="0.25">
      <c r="A74" t="s">
        <v>17</v>
      </c>
      <c r="B74" t="s">
        <v>18</v>
      </c>
      <c r="C74" t="s">
        <v>19</v>
      </c>
    </row>
    <row r="75" spans="1:6" x14ac:dyDescent="0.25">
      <c r="A75" t="s">
        <v>60</v>
      </c>
      <c r="B75" t="s">
        <v>21</v>
      </c>
      <c r="C75" t="s">
        <v>22</v>
      </c>
    </row>
    <row r="76" spans="1:6" x14ac:dyDescent="0.25">
      <c r="A76" t="s">
        <v>60</v>
      </c>
      <c r="B76" t="s">
        <v>23</v>
      </c>
      <c r="C76" t="s">
        <v>24</v>
      </c>
    </row>
    <row r="77" spans="1:6" x14ac:dyDescent="0.25">
      <c r="A77" t="s">
        <v>60</v>
      </c>
      <c r="B77" t="s">
        <v>25</v>
      </c>
      <c r="C77" t="s">
        <v>26</v>
      </c>
    </row>
    <row r="78" spans="1:6" x14ac:dyDescent="0.25">
      <c r="A78" t="s">
        <v>60</v>
      </c>
      <c r="B78" t="s">
        <v>27</v>
      </c>
      <c r="C78" t="s">
        <v>28</v>
      </c>
    </row>
    <row r="79" spans="1:6" x14ac:dyDescent="0.25">
      <c r="A79" t="s">
        <v>60</v>
      </c>
      <c r="B79" t="s">
        <v>29</v>
      </c>
      <c r="C79" t="s">
        <v>30</v>
      </c>
    </row>
    <row r="80" spans="1:6" x14ac:dyDescent="0.25">
      <c r="A80" t="s">
        <v>60</v>
      </c>
      <c r="B80" t="s">
        <v>31</v>
      </c>
      <c r="C80" t="s">
        <v>32</v>
      </c>
    </row>
    <row r="81" spans="1:6" x14ac:dyDescent="0.25">
      <c r="A81" t="s">
        <v>60</v>
      </c>
      <c r="B81" t="s">
        <v>33</v>
      </c>
      <c r="C81" t="s">
        <v>34</v>
      </c>
    </row>
    <row r="82" spans="1:6" x14ac:dyDescent="0.25">
      <c r="A82" t="s">
        <v>60</v>
      </c>
      <c r="B82" t="s">
        <v>35</v>
      </c>
      <c r="C82" t="s">
        <v>36</v>
      </c>
    </row>
    <row r="83" spans="1:6" x14ac:dyDescent="0.25">
      <c r="A83" t="s">
        <v>60</v>
      </c>
      <c r="B83" t="s">
        <v>37</v>
      </c>
      <c r="C83" t="s">
        <v>38</v>
      </c>
    </row>
    <row r="84" spans="1:6" x14ac:dyDescent="0.25">
      <c r="A84" t="s">
        <v>60</v>
      </c>
      <c r="B84" t="s">
        <v>39</v>
      </c>
      <c r="C84" t="s">
        <v>53</v>
      </c>
    </row>
    <row r="85" spans="1:6" x14ac:dyDescent="0.25">
      <c r="A85" t="s">
        <v>60</v>
      </c>
      <c r="B85" t="s">
        <v>41</v>
      </c>
      <c r="C85" t="s">
        <v>42</v>
      </c>
    </row>
    <row r="86" spans="1:6" x14ac:dyDescent="0.25">
      <c r="A86" t="s">
        <v>16</v>
      </c>
    </row>
    <row r="87" spans="1:6" x14ac:dyDescent="0.25">
      <c r="A87" t="s">
        <v>17</v>
      </c>
      <c r="B87" t="s">
        <v>43</v>
      </c>
      <c r="C87" t="s">
        <v>44</v>
      </c>
      <c r="D87" t="s">
        <v>8</v>
      </c>
      <c r="E87" t="s">
        <v>45</v>
      </c>
      <c r="F87" t="s">
        <v>46</v>
      </c>
    </row>
    <row r="88" spans="1:6" x14ac:dyDescent="0.25">
      <c r="A88" t="s">
        <v>60</v>
      </c>
      <c r="B88" t="s">
        <v>61</v>
      </c>
      <c r="C88" t="s">
        <v>48</v>
      </c>
      <c r="D88" t="s">
        <v>49</v>
      </c>
      <c r="E88" t="str">
        <f>HYPERLINK("https://kvtnl.sharepoint.com/sites/BCDocumentRepository/Equipment/10025603_EdgeConnex-AMS05 GE-5-GENAE100 SET/100_SERV_REP_PDF/10025603_20260413_WO2601531_EdgeConnex-AMS05 GE-5-GENAE100 SET_143H_QOH_1588.pdf","PDF")</f>
        <v>PDF</v>
      </c>
      <c r="F88" t="str">
        <f>HYPERLINK("https://kvtnl.sharepoint.com/sites/BCDocumentRepository/Equipment/10025603_EdgeConnex-AMS05 GE-5-GENAE100 SET/101_SERV_REP_EXCEL/10025603_20260413_WO2601531_143H_QOH_1588.xlsm","Excel")</f>
        <v>Excel</v>
      </c>
    </row>
    <row r="89" spans="1:6" x14ac:dyDescent="0.25">
      <c r="A89" t="s">
        <v>16</v>
      </c>
    </row>
    <row r="90" spans="1:6" x14ac:dyDescent="0.25">
      <c r="A90" t="s">
        <v>17</v>
      </c>
      <c r="B90" t="s">
        <v>18</v>
      </c>
      <c r="C90" t="s">
        <v>19</v>
      </c>
    </row>
    <row r="91" spans="1:6" x14ac:dyDescent="0.25">
      <c r="A91" t="s">
        <v>62</v>
      </c>
      <c r="B91" t="s">
        <v>21</v>
      </c>
      <c r="C91" t="s">
        <v>22</v>
      </c>
    </row>
    <row r="92" spans="1:6" x14ac:dyDescent="0.25">
      <c r="A92" t="s">
        <v>62</v>
      </c>
      <c r="B92" t="s">
        <v>23</v>
      </c>
      <c r="C92" t="s">
        <v>24</v>
      </c>
    </row>
    <row r="93" spans="1:6" x14ac:dyDescent="0.25">
      <c r="A93" t="s">
        <v>62</v>
      </c>
      <c r="B93" t="s">
        <v>25</v>
      </c>
      <c r="C93" t="s">
        <v>26</v>
      </c>
    </row>
    <row r="94" spans="1:6" x14ac:dyDescent="0.25">
      <c r="A94" t="s">
        <v>62</v>
      </c>
      <c r="B94" t="s">
        <v>27</v>
      </c>
      <c r="C94" t="s">
        <v>28</v>
      </c>
    </row>
    <row r="95" spans="1:6" x14ac:dyDescent="0.25">
      <c r="A95" t="s">
        <v>62</v>
      </c>
      <c r="B95" t="s">
        <v>29</v>
      </c>
      <c r="C95" t="s">
        <v>30</v>
      </c>
    </row>
    <row r="96" spans="1:6" x14ac:dyDescent="0.25">
      <c r="A96" t="s">
        <v>62</v>
      </c>
      <c r="B96" t="s">
        <v>31</v>
      </c>
      <c r="C96" t="s">
        <v>32</v>
      </c>
    </row>
    <row r="97" spans="1:6" x14ac:dyDescent="0.25">
      <c r="A97" t="s">
        <v>62</v>
      </c>
      <c r="B97" t="s">
        <v>33</v>
      </c>
      <c r="C97" t="s">
        <v>34</v>
      </c>
    </row>
    <row r="98" spans="1:6" x14ac:dyDescent="0.25">
      <c r="A98" t="s">
        <v>62</v>
      </c>
      <c r="B98" t="s">
        <v>35</v>
      </c>
      <c r="C98" t="s">
        <v>36</v>
      </c>
    </row>
    <row r="99" spans="1:6" x14ac:dyDescent="0.25">
      <c r="A99" t="s">
        <v>62</v>
      </c>
      <c r="B99" t="s">
        <v>37</v>
      </c>
      <c r="C99" t="s">
        <v>38</v>
      </c>
    </row>
    <row r="100" spans="1:6" x14ac:dyDescent="0.25">
      <c r="A100" t="s">
        <v>62</v>
      </c>
      <c r="B100" t="s">
        <v>39</v>
      </c>
      <c r="C100" t="s">
        <v>53</v>
      </c>
    </row>
    <row r="101" spans="1:6" x14ac:dyDescent="0.25">
      <c r="A101" t="s">
        <v>62</v>
      </c>
      <c r="B101" t="s">
        <v>41</v>
      </c>
      <c r="C101" t="s">
        <v>42</v>
      </c>
    </row>
    <row r="102" spans="1:6" x14ac:dyDescent="0.25">
      <c r="A102" t="s">
        <v>16</v>
      </c>
    </row>
    <row r="103" spans="1:6" x14ac:dyDescent="0.25">
      <c r="A103" t="s">
        <v>17</v>
      </c>
      <c r="B103" t="s">
        <v>43</v>
      </c>
      <c r="C103" t="s">
        <v>44</v>
      </c>
      <c r="D103" t="s">
        <v>8</v>
      </c>
      <c r="E103" t="s">
        <v>45</v>
      </c>
      <c r="F103" t="s">
        <v>46</v>
      </c>
    </row>
    <row r="104" spans="1:6" x14ac:dyDescent="0.25">
      <c r="A104" t="s">
        <v>62</v>
      </c>
      <c r="B104" t="s">
        <v>63</v>
      </c>
      <c r="C104" t="s">
        <v>48</v>
      </c>
      <c r="D104" t="s">
        <v>49</v>
      </c>
      <c r="E104" t="str">
        <f>HYPERLINK("https://kvtnl.sharepoint.com/sites/BCDocumentRepository/Equipment/10025604_EdgeConnex-AMS05 GE-6-GENAF100 SET/100_SERV_REP_PDF/10025604_20260413_WO2601548_EdgeConnex-AMS05 GE-6-GENAF100 SET_136H_QOH_1588.pdf","PDF")</f>
        <v>PDF</v>
      </c>
      <c r="F104" t="str">
        <f>HYPERLINK("https://kvtnl.sharepoint.com/sites/BCDocumentRepository/Equipment/10025604_EdgeConnex-AMS05 GE-6-GENAF100 SET/101_SERV_REP_EXCEL/10025604_20260413_WO2601548_136H_QOH_1588.xlsm","Excel")</f>
        <v>Excel</v>
      </c>
    </row>
    <row r="105" spans="1:6" x14ac:dyDescent="0.25">
      <c r="A105" t="s">
        <v>16</v>
      </c>
    </row>
    <row r="106" spans="1:6" x14ac:dyDescent="0.25">
      <c r="A106" t="s">
        <v>17</v>
      </c>
      <c r="B106" t="s">
        <v>18</v>
      </c>
      <c r="C106" t="s">
        <v>19</v>
      </c>
    </row>
    <row r="107" spans="1:6" x14ac:dyDescent="0.25">
      <c r="A107" t="s">
        <v>64</v>
      </c>
      <c r="B107" t="s">
        <v>21</v>
      </c>
      <c r="C107" t="s">
        <v>22</v>
      </c>
    </row>
    <row r="108" spans="1:6" x14ac:dyDescent="0.25">
      <c r="A108" t="s">
        <v>64</v>
      </c>
      <c r="B108" t="s">
        <v>23</v>
      </c>
      <c r="C108" t="s">
        <v>24</v>
      </c>
    </row>
    <row r="109" spans="1:6" x14ac:dyDescent="0.25">
      <c r="A109" t="s">
        <v>64</v>
      </c>
      <c r="B109" t="s">
        <v>25</v>
      </c>
      <c r="C109" t="s">
        <v>26</v>
      </c>
    </row>
    <row r="110" spans="1:6" x14ac:dyDescent="0.25">
      <c r="A110" t="s">
        <v>64</v>
      </c>
      <c r="B110" t="s">
        <v>27</v>
      </c>
      <c r="C110" t="s">
        <v>28</v>
      </c>
    </row>
    <row r="111" spans="1:6" x14ac:dyDescent="0.25">
      <c r="A111" t="s">
        <v>64</v>
      </c>
      <c r="B111" t="s">
        <v>29</v>
      </c>
      <c r="C111" t="s">
        <v>30</v>
      </c>
    </row>
    <row r="112" spans="1:6" x14ac:dyDescent="0.25">
      <c r="A112" t="s">
        <v>64</v>
      </c>
      <c r="B112" t="s">
        <v>31</v>
      </c>
      <c r="C112" t="s">
        <v>32</v>
      </c>
    </row>
    <row r="113" spans="1:6" x14ac:dyDescent="0.25">
      <c r="A113" t="s">
        <v>64</v>
      </c>
      <c r="B113" t="s">
        <v>33</v>
      </c>
      <c r="C113" t="s">
        <v>34</v>
      </c>
    </row>
    <row r="114" spans="1:6" x14ac:dyDescent="0.25">
      <c r="A114" t="s">
        <v>64</v>
      </c>
      <c r="B114" t="s">
        <v>35</v>
      </c>
      <c r="C114" t="s">
        <v>36</v>
      </c>
    </row>
    <row r="115" spans="1:6" x14ac:dyDescent="0.25">
      <c r="A115" t="s">
        <v>64</v>
      </c>
      <c r="B115" t="s">
        <v>37</v>
      </c>
      <c r="C115" t="s">
        <v>38</v>
      </c>
    </row>
    <row r="116" spans="1:6" x14ac:dyDescent="0.25">
      <c r="A116" t="s">
        <v>64</v>
      </c>
      <c r="B116" t="s">
        <v>39</v>
      </c>
      <c r="C116" t="s">
        <v>53</v>
      </c>
    </row>
    <row r="117" spans="1:6" x14ac:dyDescent="0.25">
      <c r="A117" t="s">
        <v>64</v>
      </c>
      <c r="B117" t="s">
        <v>41</v>
      </c>
      <c r="C117" t="s">
        <v>42</v>
      </c>
    </row>
    <row r="118" spans="1:6" x14ac:dyDescent="0.25">
      <c r="A118" t="s">
        <v>16</v>
      </c>
    </row>
    <row r="119" spans="1:6" x14ac:dyDescent="0.25">
      <c r="A119" t="s">
        <v>17</v>
      </c>
      <c r="B119" t="s">
        <v>43</v>
      </c>
      <c r="C119" t="s">
        <v>44</v>
      </c>
      <c r="D119" t="s">
        <v>8</v>
      </c>
      <c r="E119" t="s">
        <v>45</v>
      </c>
      <c r="F119" t="s">
        <v>46</v>
      </c>
    </row>
    <row r="120" spans="1:6" x14ac:dyDescent="0.25">
      <c r="A120" t="s">
        <v>64</v>
      </c>
      <c r="B120" t="s">
        <v>65</v>
      </c>
      <c r="C120" t="s">
        <v>48</v>
      </c>
      <c r="D120" t="s">
        <v>49</v>
      </c>
      <c r="E120" t="str">
        <f>HYPERLINK("https://kvtnl.sharepoint.com/sites/BCDocumentRepository/Equipment/10025605_EdgeConnex-AMS05 GE-7-GENAG100 SET/100_SERV_REP_PDF/10025605_20260414_WO2601553_EdgeConnex-AMS05 GE-7-GENAG100 SET_217H_QOH_1832.pdf","PDF")</f>
        <v>PDF</v>
      </c>
      <c r="F120" t="str">
        <f>HYPERLINK("https://kvtnl.sharepoint.com/sites/BCDocumentRepository/Equipment/10025605_EdgeConnex-AMS05 GE-7-GENAG100 SET/101_SERV_REP_EXCEL/10025605_20260414_WO2601553_217H_QOH_1832.xlsm","Excel")</f>
        <v>Excel</v>
      </c>
    </row>
    <row r="121" spans="1:6" x14ac:dyDescent="0.25">
      <c r="A121" t="s">
        <v>16</v>
      </c>
    </row>
    <row r="122" spans="1:6" x14ac:dyDescent="0.25">
      <c r="A122" t="s">
        <v>17</v>
      </c>
      <c r="B122" t="s">
        <v>18</v>
      </c>
      <c r="C122" t="s">
        <v>19</v>
      </c>
    </row>
    <row r="123" spans="1:6" x14ac:dyDescent="0.25">
      <c r="A123" t="s">
        <v>66</v>
      </c>
      <c r="B123" t="s">
        <v>21</v>
      </c>
      <c r="C123" t="s">
        <v>67</v>
      </c>
    </row>
    <row r="124" spans="1:6" x14ac:dyDescent="0.25">
      <c r="A124" t="s">
        <v>66</v>
      </c>
      <c r="B124" t="s">
        <v>23</v>
      </c>
      <c r="C124" t="s">
        <v>51</v>
      </c>
    </row>
    <row r="125" spans="1:6" x14ac:dyDescent="0.25">
      <c r="A125" t="s">
        <v>66</v>
      </c>
      <c r="B125" t="s">
        <v>25</v>
      </c>
      <c r="C125" t="s">
        <v>26</v>
      </c>
    </row>
    <row r="126" spans="1:6" x14ac:dyDescent="0.25">
      <c r="A126" t="s">
        <v>66</v>
      </c>
      <c r="B126" t="s">
        <v>27</v>
      </c>
      <c r="C126" t="s">
        <v>28</v>
      </c>
    </row>
    <row r="127" spans="1:6" x14ac:dyDescent="0.25">
      <c r="A127" t="s">
        <v>66</v>
      </c>
      <c r="B127" t="s">
        <v>29</v>
      </c>
      <c r="C127" t="s">
        <v>68</v>
      </c>
    </row>
    <row r="128" spans="1:6" x14ac:dyDescent="0.25">
      <c r="A128" t="s">
        <v>66</v>
      </c>
      <c r="B128" t="s">
        <v>31</v>
      </c>
      <c r="C128" t="s">
        <v>69</v>
      </c>
    </row>
    <row r="129" spans="1:6" x14ac:dyDescent="0.25">
      <c r="A129" t="s">
        <v>66</v>
      </c>
      <c r="B129" t="s">
        <v>33</v>
      </c>
      <c r="C129" t="s">
        <v>70</v>
      </c>
    </row>
    <row r="130" spans="1:6" x14ac:dyDescent="0.25">
      <c r="A130" t="s">
        <v>66</v>
      </c>
      <c r="B130" t="s">
        <v>35</v>
      </c>
      <c r="C130" t="s">
        <v>36</v>
      </c>
    </row>
    <row r="131" spans="1:6" x14ac:dyDescent="0.25">
      <c r="A131" t="s">
        <v>66</v>
      </c>
      <c r="B131" t="s">
        <v>37</v>
      </c>
      <c r="C131" t="s">
        <v>38</v>
      </c>
    </row>
    <row r="132" spans="1:6" x14ac:dyDescent="0.25">
      <c r="A132" t="s">
        <v>66</v>
      </c>
      <c r="B132" t="s">
        <v>39</v>
      </c>
      <c r="C132" t="s">
        <v>53</v>
      </c>
    </row>
    <row r="133" spans="1:6" x14ac:dyDescent="0.25">
      <c r="A133" t="s">
        <v>66</v>
      </c>
      <c r="B133" t="s">
        <v>41</v>
      </c>
      <c r="C133" t="s">
        <v>56</v>
      </c>
    </row>
    <row r="134" spans="1:6" x14ac:dyDescent="0.25">
      <c r="A134" t="s">
        <v>16</v>
      </c>
    </row>
    <row r="135" spans="1:6" x14ac:dyDescent="0.25">
      <c r="A135" t="s">
        <v>17</v>
      </c>
      <c r="B135" t="s">
        <v>43</v>
      </c>
      <c r="C135" t="s">
        <v>44</v>
      </c>
      <c r="D135" t="s">
        <v>8</v>
      </c>
      <c r="E135" t="s">
        <v>45</v>
      </c>
      <c r="F135" t="s">
        <v>46</v>
      </c>
    </row>
    <row r="136" spans="1:6" x14ac:dyDescent="0.25">
      <c r="A136" t="s">
        <v>66</v>
      </c>
      <c r="B136" t="s">
        <v>71</v>
      </c>
      <c r="C136" t="s">
        <v>48</v>
      </c>
      <c r="D136" t="s">
        <v>49</v>
      </c>
      <c r="E136" t="str">
        <f>HYPERLINK("https://kvtnl.sharepoint.com/sites/BCDocumentRepository/Equipment/10026185_EdgeConnex-AMS05 GE-8-GENBA100 SET/100_SERV_REP_PDF/10026185_20260413_WO2601564_EdgeConnex-AMS05 GE-8-GENBA100 SET_155H_QOH_1832.pdf","PDF")</f>
        <v>PDF</v>
      </c>
      <c r="F136" t="str">
        <f>HYPERLINK("https://kvtnl.sharepoint.com/sites/BCDocumentRepository/Equipment/10026185_EdgeConnex-AMS05 GE-8-GENBA100 SET/101_SERV_REP_EXCEL/10026185_20260413_WO2601564_155H_QOH_1832.xlsm","Excel")</f>
        <v>Excel</v>
      </c>
    </row>
    <row r="137" spans="1:6" x14ac:dyDescent="0.25">
      <c r="A137" t="s">
        <v>66</v>
      </c>
      <c r="B137" t="s">
        <v>72</v>
      </c>
      <c r="C137" t="s">
        <v>73</v>
      </c>
      <c r="D137" t="s">
        <v>74</v>
      </c>
      <c r="E137" t="str">
        <f>HYPERLINK("https://kvtnl.sharepoint.com/sites/BCDocumentRepository/Equipment/10026185_EdgeConnex-AMS05 GE-8-GENBA100 SET/100_SERV_REP_PDF/10026185_20260518_WO2601561_EdgeConnex-AMS05 GE-8-GENBA100 SET_156H_GOH SA LB ST24_1722.pdf","PDF")</f>
        <v>PDF</v>
      </c>
      <c r="F137" t="str">
        <f>HYPERLINK("https://kvtnl.sharepoint.com/sites/BCDocumentRepository/Equipment/10026185_EdgeConnex-AMS05 GE-8-GENBA100 SET/101_SERV_REP_EXCEL/10026185_20260518_WO2601561_156H_GOH SA LB ST24_1722.xlsm","Excel")</f>
        <v>Excel</v>
      </c>
    </row>
    <row r="138" spans="1:6" x14ac:dyDescent="0.25">
      <c r="A138" t="s">
        <v>16</v>
      </c>
    </row>
    <row r="139" spans="1:6" x14ac:dyDescent="0.25">
      <c r="A139" t="s">
        <v>17</v>
      </c>
      <c r="B139" t="s">
        <v>18</v>
      </c>
      <c r="C139" t="s">
        <v>19</v>
      </c>
    </row>
    <row r="140" spans="1:6" x14ac:dyDescent="0.25">
      <c r="A140" t="s">
        <v>75</v>
      </c>
      <c r="B140" t="s">
        <v>21</v>
      </c>
      <c r="C140" t="s">
        <v>22</v>
      </c>
    </row>
    <row r="141" spans="1:6" x14ac:dyDescent="0.25">
      <c r="A141" t="s">
        <v>75</v>
      </c>
      <c r="B141" t="s">
        <v>23</v>
      </c>
      <c r="C141" t="s">
        <v>76</v>
      </c>
    </row>
    <row r="142" spans="1:6" x14ac:dyDescent="0.25">
      <c r="A142" t="s">
        <v>75</v>
      </c>
      <c r="B142" t="s">
        <v>25</v>
      </c>
      <c r="C142" t="s">
        <v>26</v>
      </c>
    </row>
    <row r="143" spans="1:6" x14ac:dyDescent="0.25">
      <c r="A143" t="s">
        <v>75</v>
      </c>
      <c r="B143" t="s">
        <v>27</v>
      </c>
      <c r="C143" t="s">
        <v>28</v>
      </c>
    </row>
    <row r="144" spans="1:6" x14ac:dyDescent="0.25">
      <c r="A144" t="s">
        <v>75</v>
      </c>
      <c r="B144" t="s">
        <v>29</v>
      </c>
      <c r="C144" t="s">
        <v>68</v>
      </c>
    </row>
    <row r="145" spans="1:6" x14ac:dyDescent="0.25">
      <c r="A145" t="s">
        <v>75</v>
      </c>
      <c r="B145" t="s">
        <v>31</v>
      </c>
      <c r="C145" t="s">
        <v>69</v>
      </c>
    </row>
    <row r="146" spans="1:6" x14ac:dyDescent="0.25">
      <c r="A146" t="s">
        <v>75</v>
      </c>
      <c r="B146" t="s">
        <v>33</v>
      </c>
      <c r="C146" t="s">
        <v>70</v>
      </c>
    </row>
    <row r="147" spans="1:6" x14ac:dyDescent="0.25">
      <c r="A147" t="s">
        <v>75</v>
      </c>
      <c r="B147" t="s">
        <v>35</v>
      </c>
      <c r="C147" t="s">
        <v>36</v>
      </c>
    </row>
    <row r="148" spans="1:6" x14ac:dyDescent="0.25">
      <c r="A148" t="s">
        <v>75</v>
      </c>
      <c r="B148" t="s">
        <v>37</v>
      </c>
      <c r="C148" t="s">
        <v>38</v>
      </c>
    </row>
    <row r="149" spans="1:6" x14ac:dyDescent="0.25">
      <c r="A149" t="s">
        <v>75</v>
      </c>
      <c r="B149" t="s">
        <v>39</v>
      </c>
      <c r="C149" t="s">
        <v>53</v>
      </c>
    </row>
    <row r="150" spans="1:6" x14ac:dyDescent="0.25">
      <c r="A150" t="s">
        <v>75</v>
      </c>
      <c r="B150" t="s">
        <v>41</v>
      </c>
      <c r="C150" t="s">
        <v>56</v>
      </c>
    </row>
    <row r="151" spans="1:6" x14ac:dyDescent="0.25">
      <c r="A151" t="s">
        <v>16</v>
      </c>
    </row>
    <row r="152" spans="1:6" x14ac:dyDescent="0.25">
      <c r="A152" t="s">
        <v>17</v>
      </c>
      <c r="B152" t="s">
        <v>43</v>
      </c>
      <c r="C152" t="s">
        <v>44</v>
      </c>
      <c r="D152" t="s">
        <v>8</v>
      </c>
      <c r="E152" t="s">
        <v>45</v>
      </c>
      <c r="F152" t="s">
        <v>46</v>
      </c>
    </row>
    <row r="153" spans="1:6" x14ac:dyDescent="0.25">
      <c r="A153" t="s">
        <v>75</v>
      </c>
      <c r="B153" t="s">
        <v>77</v>
      </c>
      <c r="C153" t="s">
        <v>48</v>
      </c>
      <c r="D153" t="s">
        <v>49</v>
      </c>
      <c r="E153" t="str">
        <f>HYPERLINK("https://kvtnl.sharepoint.com/sites/BCDocumentRepository/Equipment/10026186_EdgeConnex-AMS05 GE-9-GENBB100 SET/100_SERV_REP_PDF/10026186_20260413_WO2601575_EdgeConnex-AMS05 GE-9-GENBB100 SET_214H_QOH_1832.pdf","PDF")</f>
        <v>PDF</v>
      </c>
      <c r="F153" t="str">
        <f>HYPERLINK("https://kvtnl.sharepoint.com/sites/BCDocumentRepository/Equipment/10026186_EdgeConnex-AMS05 GE-9-GENBB100 SET/101_SERV_REP_EXCEL/10026186_20260413_WO2601575_214H_QOH_1832.xlsm","Excel")</f>
        <v>Excel</v>
      </c>
    </row>
    <row r="154" spans="1:6" x14ac:dyDescent="0.25">
      <c r="A154" t="s">
        <v>75</v>
      </c>
      <c r="B154" t="s">
        <v>78</v>
      </c>
      <c r="C154" t="s">
        <v>73</v>
      </c>
      <c r="D154" t="s">
        <v>74</v>
      </c>
      <c r="E154" t="str">
        <f>HYPERLINK("https://kvtnl.sharepoint.com/sites/BCDocumentRepository/Equipment/10026186_EdgeConnex-AMS05 GE-9-GENBB100 SET/100_SERV_REP_PDF/10026186_20260519_WO2601572_EdgeConnex-AMS05 GE-9-GENBB100 SET_215H_GOH SA LB ST24_1722.pdf","PDF")</f>
        <v>PDF</v>
      </c>
      <c r="F154" t="str">
        <f>HYPERLINK("https://kvtnl.sharepoint.com/sites/BCDocumentRepository/Equipment/10026186_EdgeConnex-AMS05 GE-9-GENBB100 SET/101_SERV_REP_EXCEL/10026186_20260519_WO2601572_215H_GOH SA LB ST24_1722.xlsm","Excel")</f>
        <v>Excel</v>
      </c>
    </row>
    <row r="155" spans="1:6" x14ac:dyDescent="0.25">
      <c r="A155" t="s">
        <v>16</v>
      </c>
    </row>
    <row r="156" spans="1:6" x14ac:dyDescent="0.25">
      <c r="A156" t="s">
        <v>17</v>
      </c>
      <c r="B156" t="s">
        <v>18</v>
      </c>
      <c r="C156" t="s">
        <v>19</v>
      </c>
    </row>
    <row r="157" spans="1:6" x14ac:dyDescent="0.25">
      <c r="A157" t="s">
        <v>79</v>
      </c>
      <c r="B157" t="s">
        <v>21</v>
      </c>
      <c r="C157" t="s">
        <v>22</v>
      </c>
    </row>
    <row r="158" spans="1:6" x14ac:dyDescent="0.25">
      <c r="A158" t="s">
        <v>79</v>
      </c>
      <c r="B158" t="s">
        <v>23</v>
      </c>
      <c r="C158" t="s">
        <v>51</v>
      </c>
    </row>
    <row r="159" spans="1:6" x14ac:dyDescent="0.25">
      <c r="A159" t="s">
        <v>79</v>
      </c>
      <c r="B159" t="s">
        <v>25</v>
      </c>
      <c r="C159" t="s">
        <v>26</v>
      </c>
    </row>
    <row r="160" spans="1:6" x14ac:dyDescent="0.25">
      <c r="A160" t="s">
        <v>79</v>
      </c>
      <c r="B160" t="s">
        <v>27</v>
      </c>
      <c r="C160" t="s">
        <v>28</v>
      </c>
    </row>
    <row r="161" spans="1:6" x14ac:dyDescent="0.25">
      <c r="A161" t="s">
        <v>79</v>
      </c>
      <c r="B161" t="s">
        <v>29</v>
      </c>
      <c r="C161" t="s">
        <v>68</v>
      </c>
    </row>
    <row r="162" spans="1:6" x14ac:dyDescent="0.25">
      <c r="A162" t="s">
        <v>79</v>
      </c>
      <c r="B162" t="s">
        <v>31</v>
      </c>
      <c r="C162" t="s">
        <v>69</v>
      </c>
    </row>
    <row r="163" spans="1:6" x14ac:dyDescent="0.25">
      <c r="A163" t="s">
        <v>79</v>
      </c>
      <c r="B163" t="s">
        <v>33</v>
      </c>
      <c r="C163" t="s">
        <v>70</v>
      </c>
    </row>
    <row r="164" spans="1:6" x14ac:dyDescent="0.25">
      <c r="A164" t="s">
        <v>79</v>
      </c>
      <c r="B164" t="s">
        <v>35</v>
      </c>
      <c r="C164" t="s">
        <v>36</v>
      </c>
    </row>
    <row r="165" spans="1:6" x14ac:dyDescent="0.25">
      <c r="A165" t="s">
        <v>79</v>
      </c>
      <c r="B165" t="s">
        <v>37</v>
      </c>
      <c r="C165" t="s">
        <v>38</v>
      </c>
    </row>
    <row r="166" spans="1:6" x14ac:dyDescent="0.25">
      <c r="A166" t="s">
        <v>79</v>
      </c>
      <c r="B166" t="s">
        <v>39</v>
      </c>
      <c r="C166" t="s">
        <v>53</v>
      </c>
    </row>
    <row r="167" spans="1:6" x14ac:dyDescent="0.25">
      <c r="A167" t="s">
        <v>79</v>
      </c>
      <c r="B167" t="s">
        <v>41</v>
      </c>
      <c r="C167" t="s">
        <v>56</v>
      </c>
    </row>
    <row r="168" spans="1:6" x14ac:dyDescent="0.25">
      <c r="A168" t="s">
        <v>16</v>
      </c>
    </row>
    <row r="169" spans="1:6" x14ac:dyDescent="0.25">
      <c r="A169" t="s">
        <v>17</v>
      </c>
      <c r="B169" t="s">
        <v>43</v>
      </c>
      <c r="C169" t="s">
        <v>44</v>
      </c>
      <c r="D169" t="s">
        <v>8</v>
      </c>
      <c r="E169" t="s">
        <v>45</v>
      </c>
      <c r="F169" t="s">
        <v>46</v>
      </c>
    </row>
    <row r="170" spans="1:6" x14ac:dyDescent="0.25">
      <c r="A170" t="s">
        <v>79</v>
      </c>
      <c r="B170" t="s">
        <v>80</v>
      </c>
      <c r="C170" t="s">
        <v>48</v>
      </c>
      <c r="D170" t="s">
        <v>49</v>
      </c>
      <c r="E170" t="str">
        <f>HYPERLINK("https://kvtnl.sharepoint.com/sites/BCDocumentRepository/Equipment/10026187_EdgeConnex-AMS05 GE-10-GENBC100 SET/100_SERV_REP_PDF/10026187_20260413_WO2601586_EdgeConnex-AMS05 GE-10-GENBC100 SET_129H_QOH_1832.pdf","PDF")</f>
        <v>PDF</v>
      </c>
      <c r="F170" t="str">
        <f>HYPERLINK("https://kvtnl.sharepoint.com/sites/BCDocumentRepository/Equipment/10026187_EdgeConnex-AMS05 GE-10-GENBC100 SET/101_SERV_REP_EXCEL/10026187_20260413_WO2601586_129H_QOH_1832.xlsm","Excel")</f>
        <v>Excel</v>
      </c>
    </row>
    <row r="171" spans="1:6" x14ac:dyDescent="0.25">
      <c r="A171" t="s">
        <v>79</v>
      </c>
      <c r="B171" t="s">
        <v>81</v>
      </c>
      <c r="C171" t="s">
        <v>73</v>
      </c>
      <c r="D171" t="s">
        <v>74</v>
      </c>
      <c r="E171" t="str">
        <f>HYPERLINK("https://kvtnl.sharepoint.com/sites/BCDocumentRepository/Equipment/10026187_EdgeConnex-AMS05 GE-10-GENBC100 SET/100_SERV_REP_PDF/10026187_20260520_WO2601583_EdgeConnex-AMS05 GE-10-GENBC100 SET_129H_GOH SA LB ST24_1722.pdf","PDF")</f>
        <v>PDF</v>
      </c>
      <c r="F171" t="str">
        <f>HYPERLINK("https://kvtnl.sharepoint.com/sites/BCDocumentRepository/Equipment/10026187_EdgeConnex-AMS05 GE-10-GENBC100 SET/101_SERV_REP_EXCEL/10026187_20260520_WO2601583_129H_GOH SA LB ST24_1722.xlsm","Excel")</f>
        <v>Excel</v>
      </c>
    </row>
    <row r="172" spans="1:6" x14ac:dyDescent="0.25">
      <c r="A172" t="s">
        <v>16</v>
      </c>
    </row>
    <row r="173" spans="1:6" x14ac:dyDescent="0.25">
      <c r="A173" t="s">
        <v>17</v>
      </c>
      <c r="B173" t="s">
        <v>18</v>
      </c>
      <c r="C173" t="s">
        <v>19</v>
      </c>
    </row>
    <row r="174" spans="1:6" x14ac:dyDescent="0.25">
      <c r="A174" t="s">
        <v>82</v>
      </c>
      <c r="B174" t="s">
        <v>21</v>
      </c>
      <c r="C174" t="s">
        <v>22</v>
      </c>
    </row>
    <row r="175" spans="1:6" x14ac:dyDescent="0.25">
      <c r="A175" t="s">
        <v>82</v>
      </c>
      <c r="B175" t="s">
        <v>23</v>
      </c>
      <c r="C175" t="s">
        <v>51</v>
      </c>
    </row>
    <row r="176" spans="1:6" x14ac:dyDescent="0.25">
      <c r="A176" t="s">
        <v>82</v>
      </c>
      <c r="B176" t="s">
        <v>25</v>
      </c>
      <c r="C176" t="s">
        <v>26</v>
      </c>
    </row>
    <row r="177" spans="1:6" x14ac:dyDescent="0.25">
      <c r="A177" t="s">
        <v>82</v>
      </c>
      <c r="B177" t="s">
        <v>27</v>
      </c>
      <c r="C177" t="s">
        <v>28</v>
      </c>
    </row>
    <row r="178" spans="1:6" x14ac:dyDescent="0.25">
      <c r="A178" t="s">
        <v>82</v>
      </c>
      <c r="B178" t="s">
        <v>29</v>
      </c>
      <c r="C178" t="s">
        <v>68</v>
      </c>
    </row>
    <row r="179" spans="1:6" x14ac:dyDescent="0.25">
      <c r="A179" t="s">
        <v>82</v>
      </c>
      <c r="B179" t="s">
        <v>31</v>
      </c>
      <c r="C179" t="s">
        <v>69</v>
      </c>
    </row>
    <row r="180" spans="1:6" x14ac:dyDescent="0.25">
      <c r="A180" t="s">
        <v>82</v>
      </c>
      <c r="B180" t="s">
        <v>33</v>
      </c>
      <c r="C180" t="s">
        <v>70</v>
      </c>
    </row>
    <row r="181" spans="1:6" x14ac:dyDescent="0.25">
      <c r="A181" t="s">
        <v>82</v>
      </c>
      <c r="B181" t="s">
        <v>35</v>
      </c>
      <c r="C181" t="s">
        <v>36</v>
      </c>
    </row>
    <row r="182" spans="1:6" x14ac:dyDescent="0.25">
      <c r="A182" t="s">
        <v>82</v>
      </c>
      <c r="B182" t="s">
        <v>37</v>
      </c>
      <c r="C182" t="s">
        <v>38</v>
      </c>
    </row>
    <row r="183" spans="1:6" x14ac:dyDescent="0.25">
      <c r="A183" t="s">
        <v>82</v>
      </c>
      <c r="B183" t="s">
        <v>39</v>
      </c>
      <c r="C183" t="s">
        <v>83</v>
      </c>
    </row>
    <row r="184" spans="1:6" x14ac:dyDescent="0.25">
      <c r="A184" t="s">
        <v>82</v>
      </c>
      <c r="B184" t="s">
        <v>41</v>
      </c>
      <c r="C184" t="s">
        <v>56</v>
      </c>
    </row>
    <row r="185" spans="1:6" x14ac:dyDescent="0.25">
      <c r="A185" t="s">
        <v>16</v>
      </c>
    </row>
    <row r="186" spans="1:6" x14ac:dyDescent="0.25">
      <c r="A186" t="s">
        <v>17</v>
      </c>
      <c r="B186" t="s">
        <v>43</v>
      </c>
      <c r="C186" t="s">
        <v>44</v>
      </c>
      <c r="D186" t="s">
        <v>8</v>
      </c>
      <c r="E186" t="s">
        <v>45</v>
      </c>
      <c r="F186" t="s">
        <v>46</v>
      </c>
    </row>
    <row r="187" spans="1:6" x14ac:dyDescent="0.25">
      <c r="A187" t="s">
        <v>82</v>
      </c>
      <c r="B187" t="s">
        <v>84</v>
      </c>
      <c r="C187" t="s">
        <v>48</v>
      </c>
      <c r="D187" t="s">
        <v>49</v>
      </c>
      <c r="E187" t="str">
        <f>HYPERLINK("https://kvtnl.sharepoint.com/sites/BCDocumentRepository/Equipment/10026188_EdgeConnex-AMS05 GE-12-GENBE100 SET/100_SERV_REP_PDF/10026188_20260414_WO2601597_EdgeConnex-AMS05 GE-12-GENBE100 SET_128H_QOH_1832.pdf","PDF")</f>
        <v>PDF</v>
      </c>
      <c r="F187" t="str">
        <f>HYPERLINK("https://kvtnl.sharepoint.com/sites/BCDocumentRepository/Equipment/10026188_EdgeConnex-AMS05 GE-12-GENBE100 SET/101_SERV_REP_EXCEL/10026188_20260414_WO2601597_128H_QOH_1832.xlsm","Excel")</f>
        <v>Excel</v>
      </c>
    </row>
    <row r="188" spans="1:6" x14ac:dyDescent="0.25">
      <c r="A188" t="s">
        <v>82</v>
      </c>
      <c r="B188" t="s">
        <v>85</v>
      </c>
      <c r="C188" t="s">
        <v>73</v>
      </c>
      <c r="D188" t="s">
        <v>74</v>
      </c>
      <c r="E188" t="str">
        <f>HYPERLINK("https://kvtnl.sharepoint.com/sites/BCDocumentRepository/Equipment/10026188_EdgeConnex-AMS05 GE-12-GENBE100 SET/100_SERV_REP_PDF/10026188_20260527_WO2601594_EdgeConnex-AMS05 GE-12-GENBE100 SET_129H_GOH SA LB ST24_1527.pdf","PDF")</f>
        <v>PDF</v>
      </c>
      <c r="F188" t="str">
        <f>HYPERLINK("https://kvtnl.sharepoint.com/sites/BCDocumentRepository/Equipment/10026188_EdgeConnex-AMS05 GE-12-GENBE100 SET/101_SERV_REP_EXCEL/10026188_20260527_WO2601594_129H_GOH SA LB ST24_1527.xlsm","Excel")</f>
        <v>Excel</v>
      </c>
    </row>
    <row r="189" spans="1:6" x14ac:dyDescent="0.25">
      <c r="A189" t="s">
        <v>16</v>
      </c>
    </row>
    <row r="190" spans="1:6" x14ac:dyDescent="0.25">
      <c r="A190" t="s">
        <v>17</v>
      </c>
      <c r="B190" t="s">
        <v>18</v>
      </c>
      <c r="C190" t="s">
        <v>19</v>
      </c>
    </row>
    <row r="191" spans="1:6" x14ac:dyDescent="0.25">
      <c r="A191" t="s">
        <v>86</v>
      </c>
      <c r="B191" t="s">
        <v>21</v>
      </c>
      <c r="C191" t="s">
        <v>87</v>
      </c>
    </row>
    <row r="192" spans="1:6" x14ac:dyDescent="0.25">
      <c r="A192" t="s">
        <v>86</v>
      </c>
      <c r="B192" t="s">
        <v>23</v>
      </c>
      <c r="C192" t="s">
        <v>88</v>
      </c>
    </row>
    <row r="193" spans="1:6" x14ac:dyDescent="0.25">
      <c r="A193" t="s">
        <v>86</v>
      </c>
      <c r="B193" t="s">
        <v>25</v>
      </c>
      <c r="C193" t="s">
        <v>26</v>
      </c>
    </row>
    <row r="194" spans="1:6" x14ac:dyDescent="0.25">
      <c r="A194" t="s">
        <v>86</v>
      </c>
      <c r="B194" t="s">
        <v>27</v>
      </c>
      <c r="C194" t="s">
        <v>28</v>
      </c>
    </row>
    <row r="195" spans="1:6" x14ac:dyDescent="0.25">
      <c r="A195" t="s">
        <v>86</v>
      </c>
      <c r="B195" t="s">
        <v>29</v>
      </c>
      <c r="C195" t="s">
        <v>68</v>
      </c>
    </row>
    <row r="196" spans="1:6" x14ac:dyDescent="0.25">
      <c r="A196" t="s">
        <v>86</v>
      </c>
      <c r="B196" t="s">
        <v>31</v>
      </c>
      <c r="C196" t="s">
        <v>69</v>
      </c>
    </row>
    <row r="197" spans="1:6" x14ac:dyDescent="0.25">
      <c r="A197" t="s">
        <v>86</v>
      </c>
      <c r="B197" t="s">
        <v>33</v>
      </c>
      <c r="C197" t="s">
        <v>70</v>
      </c>
    </row>
    <row r="198" spans="1:6" x14ac:dyDescent="0.25">
      <c r="A198" t="s">
        <v>86</v>
      </c>
      <c r="B198" t="s">
        <v>35</v>
      </c>
      <c r="C198" t="s">
        <v>36</v>
      </c>
    </row>
    <row r="199" spans="1:6" x14ac:dyDescent="0.25">
      <c r="A199" t="s">
        <v>86</v>
      </c>
      <c r="B199" t="s">
        <v>37</v>
      </c>
      <c r="C199" t="s">
        <v>38</v>
      </c>
    </row>
    <row r="200" spans="1:6" x14ac:dyDescent="0.25">
      <c r="A200" t="s">
        <v>86</v>
      </c>
      <c r="B200" t="s">
        <v>39</v>
      </c>
      <c r="C200" t="s">
        <v>89</v>
      </c>
    </row>
    <row r="201" spans="1:6" x14ac:dyDescent="0.25">
      <c r="A201" t="s">
        <v>86</v>
      </c>
      <c r="B201" t="s">
        <v>41</v>
      </c>
      <c r="C201" t="s">
        <v>56</v>
      </c>
    </row>
    <row r="202" spans="1:6" x14ac:dyDescent="0.25">
      <c r="A202" t="s">
        <v>16</v>
      </c>
    </row>
    <row r="203" spans="1:6" x14ac:dyDescent="0.25">
      <c r="A203" t="s">
        <v>17</v>
      </c>
      <c r="B203" t="s">
        <v>43</v>
      </c>
      <c r="C203" t="s">
        <v>44</v>
      </c>
      <c r="D203" t="s">
        <v>8</v>
      </c>
      <c r="E203" t="s">
        <v>45</v>
      </c>
      <c r="F203" t="s">
        <v>46</v>
      </c>
    </row>
    <row r="204" spans="1:6" x14ac:dyDescent="0.25">
      <c r="A204" t="s">
        <v>86</v>
      </c>
      <c r="B204" t="s">
        <v>90</v>
      </c>
      <c r="C204" t="s">
        <v>48</v>
      </c>
      <c r="D204" t="s">
        <v>49</v>
      </c>
      <c r="E204" t="str">
        <f>HYPERLINK("https://kvtnl.sharepoint.com/sites/BCDocumentRepository/Equipment/10026189_EdgeConnex-AMS05 GE-14-GENBG100 SET/100_SERV_REP_PDF/10026189_20260414_WO2601608_EdgeConnex-AMS05 GE-14-GENBG100 SET_132H_QOH_1832.pdf","PDF")</f>
        <v>PDF</v>
      </c>
      <c r="F204" t="str">
        <f>HYPERLINK("https://kvtnl.sharepoint.com/sites/BCDocumentRepository/Equipment/10026189_EdgeConnex-AMS05 GE-14-GENBG100 SET/101_SERV_REP_EXCEL/10026189_20260414_WO2601608_132H_QOH_1832.xlsm","Excel")</f>
        <v>Excel</v>
      </c>
    </row>
    <row r="205" spans="1:6" x14ac:dyDescent="0.25">
      <c r="A205" t="s">
        <v>86</v>
      </c>
      <c r="B205" t="s">
        <v>91</v>
      </c>
      <c r="C205" t="s">
        <v>73</v>
      </c>
      <c r="D205" t="s">
        <v>74</v>
      </c>
      <c r="E205" t="str">
        <f>HYPERLINK("https://kvtnl.sharepoint.com/sites/BCDocumentRepository/Equipment/10026189_EdgeConnex-AMS05 GE-14-GENBG100 SET/100_SERV_REP_PDF/10026189_20260529_WO2601605_EdgeConnex-AMS05 GE-14-GENBG100 SET_134H_GOH SA LB ST24_1527.pdf","PDF")</f>
        <v>PDF</v>
      </c>
      <c r="F205" t="str">
        <f>HYPERLINK("https://kvtnl.sharepoint.com/sites/BCDocumentRepository/Equipment/10026189_EdgeConnex-AMS05 GE-14-GENBG100 SET/101_SERV_REP_EXCEL/10026189_20260529_WO2601605_134H_GOH SA LB ST24_1527.xlsm","Excel")</f>
        <v>Excel</v>
      </c>
    </row>
    <row r="206" spans="1:6" x14ac:dyDescent="0.25">
      <c r="A206" t="s">
        <v>16</v>
      </c>
    </row>
    <row r="207" spans="1:6" x14ac:dyDescent="0.25">
      <c r="A207" t="s">
        <v>17</v>
      </c>
      <c r="B207" t="s">
        <v>18</v>
      </c>
      <c r="C207" t="s">
        <v>19</v>
      </c>
    </row>
    <row r="208" spans="1:6" x14ac:dyDescent="0.25">
      <c r="A208" t="s">
        <v>92</v>
      </c>
      <c r="B208" t="s">
        <v>21</v>
      </c>
      <c r="C208" t="s">
        <v>22</v>
      </c>
    </row>
    <row r="209" spans="1:6" x14ac:dyDescent="0.25">
      <c r="A209" t="s">
        <v>92</v>
      </c>
      <c r="B209" t="s">
        <v>23</v>
      </c>
      <c r="C209" t="s">
        <v>76</v>
      </c>
    </row>
    <row r="210" spans="1:6" x14ac:dyDescent="0.25">
      <c r="A210" t="s">
        <v>92</v>
      </c>
      <c r="B210" t="s">
        <v>25</v>
      </c>
      <c r="C210" t="s">
        <v>26</v>
      </c>
    </row>
    <row r="211" spans="1:6" x14ac:dyDescent="0.25">
      <c r="A211" t="s">
        <v>92</v>
      </c>
      <c r="B211" t="s">
        <v>27</v>
      </c>
      <c r="C211" t="s">
        <v>28</v>
      </c>
    </row>
    <row r="212" spans="1:6" x14ac:dyDescent="0.25">
      <c r="A212" t="s">
        <v>92</v>
      </c>
      <c r="B212" t="s">
        <v>29</v>
      </c>
      <c r="C212" t="s">
        <v>68</v>
      </c>
    </row>
    <row r="213" spans="1:6" x14ac:dyDescent="0.25">
      <c r="A213" t="s">
        <v>92</v>
      </c>
      <c r="B213" t="s">
        <v>31</v>
      </c>
      <c r="C213" t="s">
        <v>69</v>
      </c>
    </row>
    <row r="214" spans="1:6" x14ac:dyDescent="0.25">
      <c r="A214" t="s">
        <v>92</v>
      </c>
      <c r="B214" t="s">
        <v>33</v>
      </c>
      <c r="C214" t="s">
        <v>70</v>
      </c>
    </row>
    <row r="215" spans="1:6" x14ac:dyDescent="0.25">
      <c r="A215" t="s">
        <v>92</v>
      </c>
      <c r="B215" t="s">
        <v>93</v>
      </c>
      <c r="C215" t="s">
        <v>94</v>
      </c>
    </row>
    <row r="216" spans="1:6" x14ac:dyDescent="0.25">
      <c r="A216" t="s">
        <v>92</v>
      </c>
      <c r="B216" t="s">
        <v>35</v>
      </c>
      <c r="C216" t="s">
        <v>36</v>
      </c>
    </row>
    <row r="217" spans="1:6" x14ac:dyDescent="0.25">
      <c r="A217" t="s">
        <v>92</v>
      </c>
      <c r="B217" t="s">
        <v>37</v>
      </c>
      <c r="C217" t="s">
        <v>38</v>
      </c>
    </row>
    <row r="218" spans="1:6" x14ac:dyDescent="0.25">
      <c r="A218" t="s">
        <v>92</v>
      </c>
      <c r="B218" t="s">
        <v>39</v>
      </c>
      <c r="C218" t="s">
        <v>53</v>
      </c>
    </row>
    <row r="219" spans="1:6" x14ac:dyDescent="0.25">
      <c r="A219" t="s">
        <v>92</v>
      </c>
      <c r="B219" t="s">
        <v>41</v>
      </c>
      <c r="C219" t="s">
        <v>56</v>
      </c>
    </row>
    <row r="220" spans="1:6" x14ac:dyDescent="0.25">
      <c r="A220" t="s">
        <v>16</v>
      </c>
    </row>
    <row r="221" spans="1:6" x14ac:dyDescent="0.25">
      <c r="A221" t="s">
        <v>17</v>
      </c>
      <c r="B221" t="s">
        <v>43</v>
      </c>
      <c r="C221" t="s">
        <v>44</v>
      </c>
      <c r="D221" t="s">
        <v>8</v>
      </c>
      <c r="E221" t="s">
        <v>45</v>
      </c>
      <c r="F221" t="s">
        <v>46</v>
      </c>
    </row>
    <row r="222" spans="1:6" x14ac:dyDescent="0.25">
      <c r="A222" t="s">
        <v>92</v>
      </c>
      <c r="B222" t="s">
        <v>95</v>
      </c>
      <c r="C222" t="s">
        <v>48</v>
      </c>
      <c r="D222" t="s">
        <v>49</v>
      </c>
      <c r="E222" t="str">
        <f>HYPERLINK("https://kvtnl.sharepoint.com/sites/BCDocumentRepository/Equipment/10026190_EdgeConnex-AMS05 GE-11-GENBD100 SET/100_SERV_REP_PDF/10026190_02260413_WO2601619_EdgeConnex-AMS05 GE-11-GENBD100 SET_155H_QOH_1832.pdf","PDF")</f>
        <v>PDF</v>
      </c>
      <c r="F222" t="str">
        <f>HYPERLINK("https://kvtnl.sharepoint.com/sites/BCDocumentRepository/Equipment/10026190_EdgeConnex-AMS05 GE-11-GENBD100 SET/101_SERV_REP_EXCEL/10026190_02260413_WO2601619_155H_QOH_1832.xlsm","Excel")</f>
        <v>Excel</v>
      </c>
    </row>
    <row r="223" spans="1:6" x14ac:dyDescent="0.25">
      <c r="A223" t="s">
        <v>92</v>
      </c>
      <c r="B223" t="s">
        <v>96</v>
      </c>
      <c r="C223" t="s">
        <v>73</v>
      </c>
      <c r="D223" t="s">
        <v>74</v>
      </c>
      <c r="E223" t="str">
        <f>HYPERLINK("https://kvtnl.sharepoint.com/sites/BCDocumentRepository/Equipment/10026190_EdgeConnex-AMS05 GE-11-GENBD100 SET/100_SERV_REP_PDF/10026190_20260526_WO2601616_EdgeConnex-AMS05 GE-11-GENBD100 SET_157H_GOH SA LB ST24_1358.pdf","PDF")</f>
        <v>PDF</v>
      </c>
      <c r="F223" t="str">
        <f>HYPERLINK("https://kvtnl.sharepoint.com/sites/BCDocumentRepository/Equipment/10026190_EdgeConnex-AMS05 GE-11-GENBD100 SET/101_SERV_REP_EXCEL/10026190_20260526_WO2601616_157H_GOH SA LB ST24_1358.xlsm","Excel")</f>
        <v>Excel</v>
      </c>
    </row>
    <row r="224" spans="1:6" x14ac:dyDescent="0.25">
      <c r="A224" t="s">
        <v>16</v>
      </c>
    </row>
    <row r="225" spans="1:6" x14ac:dyDescent="0.25">
      <c r="A225" t="s">
        <v>17</v>
      </c>
      <c r="B225" t="s">
        <v>18</v>
      </c>
      <c r="C225" t="s">
        <v>19</v>
      </c>
    </row>
    <row r="226" spans="1:6" x14ac:dyDescent="0.25">
      <c r="A226" t="s">
        <v>97</v>
      </c>
      <c r="B226" t="s">
        <v>21</v>
      </c>
      <c r="C226" t="s">
        <v>22</v>
      </c>
    </row>
    <row r="227" spans="1:6" x14ac:dyDescent="0.25">
      <c r="A227" t="s">
        <v>97</v>
      </c>
      <c r="B227" t="s">
        <v>23</v>
      </c>
      <c r="C227" t="s">
        <v>24</v>
      </c>
    </row>
    <row r="228" spans="1:6" x14ac:dyDescent="0.25">
      <c r="A228" t="s">
        <v>97</v>
      </c>
      <c r="B228" t="s">
        <v>25</v>
      </c>
      <c r="C228" t="s">
        <v>26</v>
      </c>
    </row>
    <row r="229" spans="1:6" x14ac:dyDescent="0.25">
      <c r="A229" t="s">
        <v>97</v>
      </c>
      <c r="B229" t="s">
        <v>27</v>
      </c>
      <c r="C229" t="s">
        <v>28</v>
      </c>
    </row>
    <row r="230" spans="1:6" x14ac:dyDescent="0.25">
      <c r="A230" t="s">
        <v>97</v>
      </c>
      <c r="B230" t="s">
        <v>29</v>
      </c>
      <c r="C230" t="s">
        <v>68</v>
      </c>
    </row>
    <row r="231" spans="1:6" x14ac:dyDescent="0.25">
      <c r="A231" t="s">
        <v>97</v>
      </c>
      <c r="B231" t="s">
        <v>31</v>
      </c>
      <c r="C231" t="s">
        <v>69</v>
      </c>
    </row>
    <row r="232" spans="1:6" x14ac:dyDescent="0.25">
      <c r="A232" t="s">
        <v>97</v>
      </c>
      <c r="B232" t="s">
        <v>33</v>
      </c>
      <c r="C232" t="s">
        <v>70</v>
      </c>
    </row>
    <row r="233" spans="1:6" x14ac:dyDescent="0.25">
      <c r="A233" t="s">
        <v>97</v>
      </c>
      <c r="B233" t="s">
        <v>35</v>
      </c>
      <c r="C233" t="s">
        <v>36</v>
      </c>
    </row>
    <row r="234" spans="1:6" x14ac:dyDescent="0.25">
      <c r="A234" t="s">
        <v>97</v>
      </c>
      <c r="B234" t="s">
        <v>37</v>
      </c>
      <c r="C234" t="s">
        <v>38</v>
      </c>
    </row>
    <row r="235" spans="1:6" x14ac:dyDescent="0.25">
      <c r="A235" t="s">
        <v>97</v>
      </c>
      <c r="B235" t="s">
        <v>39</v>
      </c>
      <c r="C235" t="s">
        <v>40</v>
      </c>
    </row>
    <row r="236" spans="1:6" x14ac:dyDescent="0.25">
      <c r="A236" t="s">
        <v>97</v>
      </c>
      <c r="B236" t="s">
        <v>41</v>
      </c>
      <c r="C236" t="s">
        <v>56</v>
      </c>
    </row>
    <row r="237" spans="1:6" x14ac:dyDescent="0.25">
      <c r="A237" t="s">
        <v>16</v>
      </c>
    </row>
    <row r="238" spans="1:6" x14ac:dyDescent="0.25">
      <c r="A238" t="s">
        <v>17</v>
      </c>
      <c r="B238" t="s">
        <v>43</v>
      </c>
      <c r="C238" t="s">
        <v>44</v>
      </c>
      <c r="D238" t="s">
        <v>8</v>
      </c>
      <c r="E238" t="s">
        <v>45</v>
      </c>
      <c r="F238" t="s">
        <v>46</v>
      </c>
    </row>
    <row r="239" spans="1:6" x14ac:dyDescent="0.25">
      <c r="A239" t="s">
        <v>97</v>
      </c>
      <c r="B239" t="s">
        <v>98</v>
      </c>
      <c r="C239" t="s">
        <v>48</v>
      </c>
      <c r="D239" t="s">
        <v>49</v>
      </c>
      <c r="E239" t="str">
        <f>HYPERLINK("https://kvtnl.sharepoint.com/sites/BCDocumentRepository/Equipment/10026191_EdgeConnex-AMS05 GE-13-GENBF100 SET/100_SERV_REP_PDF/10026191_20260414_WO2601630_EdgeConnex-AMS05 GE-13-GENBF100 SET_126H_QOH_1832.pdf","PDF")</f>
        <v>PDF</v>
      </c>
      <c r="F239" t="str">
        <f>HYPERLINK("https://kvtnl.sharepoint.com/sites/BCDocumentRepository/Equipment/10026191_EdgeConnex-AMS05 GE-13-GENBF100 SET/101_SERV_REP_EXCEL/10026191_20260414_WO2601630_126H_QOH_1832.xlsm","Excel")</f>
        <v>Excel</v>
      </c>
    </row>
    <row r="240" spans="1:6" x14ac:dyDescent="0.25">
      <c r="A240" t="s">
        <v>97</v>
      </c>
      <c r="B240" t="s">
        <v>99</v>
      </c>
      <c r="C240" t="s">
        <v>73</v>
      </c>
      <c r="D240" t="s">
        <v>74</v>
      </c>
      <c r="E240" t="str">
        <f>HYPERLINK("https://kvtnl.sharepoint.com/sites/BCDocumentRepository/Equipment/10026191_EdgeConnex-AMS05 GE-13-GENBF100 SET/100_SERV_REP_PDF/10026191_20260528_WO2601627_EdgeConnex-AMS05 GE-13-GENBF100 SET_128H_GOH SA LB ST24_1358.pdf","PDF")</f>
        <v>PDF</v>
      </c>
      <c r="F240" t="str">
        <f>HYPERLINK("https://kvtnl.sharepoint.com/sites/BCDocumentRepository/Equipment/10026191_EdgeConnex-AMS05 GE-13-GENBF100 SET/101_SERV_REP_EXCEL/10026191_20260528_WO2601627_128H_GOH SA LB ST24_1358.xlsm","Excel")</f>
        <v>Excel</v>
      </c>
    </row>
    <row r="241" spans="1:6" x14ac:dyDescent="0.25">
      <c r="A241" t="s">
        <v>16</v>
      </c>
    </row>
    <row r="242" spans="1:6" x14ac:dyDescent="0.25">
      <c r="A242" t="s">
        <v>17</v>
      </c>
      <c r="B242" t="s">
        <v>18</v>
      </c>
      <c r="C242" t="s">
        <v>19</v>
      </c>
    </row>
    <row r="243" spans="1:6" x14ac:dyDescent="0.25">
      <c r="A243" t="s">
        <v>100</v>
      </c>
      <c r="B243" t="s">
        <v>21</v>
      </c>
      <c r="C243" t="s">
        <v>22</v>
      </c>
    </row>
    <row r="244" spans="1:6" x14ac:dyDescent="0.25">
      <c r="A244" t="s">
        <v>100</v>
      </c>
      <c r="B244" t="s">
        <v>23</v>
      </c>
      <c r="C244" t="s">
        <v>24</v>
      </c>
    </row>
    <row r="245" spans="1:6" x14ac:dyDescent="0.25">
      <c r="A245" t="s">
        <v>100</v>
      </c>
      <c r="B245" t="s">
        <v>25</v>
      </c>
      <c r="C245" t="s">
        <v>26</v>
      </c>
    </row>
    <row r="246" spans="1:6" x14ac:dyDescent="0.25">
      <c r="A246" t="s">
        <v>100</v>
      </c>
      <c r="B246" t="s">
        <v>27</v>
      </c>
      <c r="C246" t="s">
        <v>28</v>
      </c>
    </row>
    <row r="247" spans="1:6" x14ac:dyDescent="0.25">
      <c r="A247" t="s">
        <v>100</v>
      </c>
      <c r="B247" t="s">
        <v>29</v>
      </c>
      <c r="C247" t="s">
        <v>52</v>
      </c>
    </row>
    <row r="248" spans="1:6" x14ac:dyDescent="0.25">
      <c r="A248" t="s">
        <v>100</v>
      </c>
      <c r="B248" t="s">
        <v>31</v>
      </c>
      <c r="C248" t="s">
        <v>101</v>
      </c>
    </row>
    <row r="249" spans="1:6" x14ac:dyDescent="0.25">
      <c r="A249" t="s">
        <v>100</v>
      </c>
      <c r="B249" t="s">
        <v>33</v>
      </c>
      <c r="C249" t="s">
        <v>102</v>
      </c>
    </row>
    <row r="250" spans="1:6" x14ac:dyDescent="0.25">
      <c r="A250" t="s">
        <v>100</v>
      </c>
      <c r="B250" t="s">
        <v>93</v>
      </c>
      <c r="C250" t="s">
        <v>103</v>
      </c>
    </row>
    <row r="251" spans="1:6" x14ac:dyDescent="0.25">
      <c r="A251" t="s">
        <v>100</v>
      </c>
      <c r="B251" t="s">
        <v>35</v>
      </c>
      <c r="C251" t="s">
        <v>36</v>
      </c>
    </row>
    <row r="252" spans="1:6" x14ac:dyDescent="0.25">
      <c r="A252" t="s">
        <v>100</v>
      </c>
      <c r="B252" t="s">
        <v>37</v>
      </c>
      <c r="C252" t="s">
        <v>38</v>
      </c>
    </row>
    <row r="253" spans="1:6" x14ac:dyDescent="0.25">
      <c r="A253" t="s">
        <v>100</v>
      </c>
      <c r="B253" t="s">
        <v>39</v>
      </c>
      <c r="C253" t="s">
        <v>53</v>
      </c>
    </row>
    <row r="254" spans="1:6" x14ac:dyDescent="0.25">
      <c r="A254" t="s">
        <v>100</v>
      </c>
      <c r="B254" t="s">
        <v>41</v>
      </c>
      <c r="C254" t="s">
        <v>56</v>
      </c>
    </row>
    <row r="255" spans="1:6" x14ac:dyDescent="0.25">
      <c r="A255" t="s">
        <v>16</v>
      </c>
    </row>
    <row r="256" spans="1:6" x14ac:dyDescent="0.25">
      <c r="A256" t="s">
        <v>17</v>
      </c>
      <c r="B256" t="s">
        <v>43</v>
      </c>
      <c r="C256" t="s">
        <v>44</v>
      </c>
      <c r="D256" t="s">
        <v>8</v>
      </c>
      <c r="E256" t="s">
        <v>45</v>
      </c>
      <c r="F256" t="s">
        <v>46</v>
      </c>
    </row>
    <row r="257" spans="1:6" x14ac:dyDescent="0.25">
      <c r="A257" t="s">
        <v>100</v>
      </c>
      <c r="B257" t="s">
        <v>104</v>
      </c>
      <c r="C257" t="s">
        <v>48</v>
      </c>
      <c r="D257" t="s">
        <v>49</v>
      </c>
      <c r="E257" t="str">
        <f>HYPERLINK("https://kvtnl.sharepoint.com/sites/BCDocumentRepository/Equipment/10026331_EdgeConnex-AMS05 GE-15-GENCA100 SET/100_SERV_REP_PDF/10026331_20260414_WO2601641_EdgeConnex-AMS05 GE-15-GENCA100 SET_122H_QOH_1832.pdf","PDF")</f>
        <v>PDF</v>
      </c>
      <c r="F257" t="str">
        <f>HYPERLINK("https://kvtnl.sharepoint.com/sites/BCDocumentRepository/Equipment/10026331_EdgeConnex-AMS05 GE-15-GENCA100 SET/101_SERV_REP_EXCEL/10026331_20260414_WO2601641_122H_QOH_1832.xlsm","Excel")</f>
        <v>Excel</v>
      </c>
    </row>
    <row r="258" spans="1:6" x14ac:dyDescent="0.25">
      <c r="A258" t="s">
        <v>100</v>
      </c>
      <c r="B258" t="s">
        <v>105</v>
      </c>
      <c r="C258" t="s">
        <v>73</v>
      </c>
      <c r="D258" t="s">
        <v>74</v>
      </c>
      <c r="E258" t="str">
        <f>HYPERLINK("https://kvtnl.sharepoint.com/sites/BCDocumentRepository/Equipment/10026331_EdgeConnex-AMS05 GE-15-GENCA100 SET/100_SERV_REP_PDF/10026331_20260601_WO2601638_EdgeConnex-AMS05 GE-15-GENCA100 SET_124H_GOH SA LB ST24_1527.pdf","PDF")</f>
        <v>PDF</v>
      </c>
      <c r="F258" t="str">
        <f>HYPERLINK("https://kvtnl.sharepoint.com/sites/BCDocumentRepository/Equipment/10026331_EdgeConnex-AMS05 GE-15-GENCA100 SET/101_SERV_REP_EXCEL/10026331_20260601_WO2601638_124H_GOH SA LB ST24_1527.xlsm","Excel")</f>
        <v>Excel</v>
      </c>
    </row>
    <row r="259" spans="1:6" x14ac:dyDescent="0.25">
      <c r="A259" t="s">
        <v>16</v>
      </c>
    </row>
    <row r="260" spans="1:6" x14ac:dyDescent="0.25">
      <c r="A260" t="s">
        <v>17</v>
      </c>
      <c r="B260" t="s">
        <v>18</v>
      </c>
      <c r="C260" t="s">
        <v>19</v>
      </c>
    </row>
    <row r="261" spans="1:6" x14ac:dyDescent="0.25">
      <c r="A261" t="s">
        <v>106</v>
      </c>
      <c r="B261" t="s">
        <v>21</v>
      </c>
      <c r="C261" t="s">
        <v>22</v>
      </c>
    </row>
    <row r="262" spans="1:6" x14ac:dyDescent="0.25">
      <c r="A262" t="s">
        <v>106</v>
      </c>
      <c r="B262" t="s">
        <v>23</v>
      </c>
      <c r="C262" t="s">
        <v>24</v>
      </c>
    </row>
    <row r="263" spans="1:6" x14ac:dyDescent="0.25">
      <c r="A263" t="s">
        <v>106</v>
      </c>
      <c r="B263" t="s">
        <v>25</v>
      </c>
      <c r="C263" t="s">
        <v>26</v>
      </c>
    </row>
    <row r="264" spans="1:6" x14ac:dyDescent="0.25">
      <c r="A264" t="s">
        <v>106</v>
      </c>
      <c r="B264" t="s">
        <v>27</v>
      </c>
      <c r="C264" t="s">
        <v>28</v>
      </c>
    </row>
    <row r="265" spans="1:6" x14ac:dyDescent="0.25">
      <c r="A265" t="s">
        <v>106</v>
      </c>
      <c r="B265" t="s">
        <v>29</v>
      </c>
      <c r="C265" t="s">
        <v>52</v>
      </c>
    </row>
    <row r="266" spans="1:6" x14ac:dyDescent="0.25">
      <c r="A266" t="s">
        <v>106</v>
      </c>
      <c r="B266" t="s">
        <v>31</v>
      </c>
      <c r="C266" t="s">
        <v>101</v>
      </c>
    </row>
    <row r="267" spans="1:6" x14ac:dyDescent="0.25">
      <c r="A267" t="s">
        <v>106</v>
      </c>
      <c r="B267" t="s">
        <v>33</v>
      </c>
      <c r="C267" t="s">
        <v>102</v>
      </c>
    </row>
    <row r="268" spans="1:6" x14ac:dyDescent="0.25">
      <c r="A268" t="s">
        <v>106</v>
      </c>
      <c r="B268" t="s">
        <v>93</v>
      </c>
      <c r="C268" t="s">
        <v>103</v>
      </c>
    </row>
    <row r="269" spans="1:6" x14ac:dyDescent="0.25">
      <c r="A269" t="s">
        <v>106</v>
      </c>
      <c r="B269" t="s">
        <v>35</v>
      </c>
      <c r="C269" t="s">
        <v>36</v>
      </c>
    </row>
    <row r="270" spans="1:6" x14ac:dyDescent="0.25">
      <c r="A270" t="s">
        <v>106</v>
      </c>
      <c r="B270" t="s">
        <v>37</v>
      </c>
      <c r="C270" t="s">
        <v>38</v>
      </c>
    </row>
    <row r="271" spans="1:6" x14ac:dyDescent="0.25">
      <c r="A271" t="s">
        <v>106</v>
      </c>
      <c r="B271" t="s">
        <v>39</v>
      </c>
      <c r="C271" t="s">
        <v>53</v>
      </c>
    </row>
    <row r="272" spans="1:6" x14ac:dyDescent="0.25">
      <c r="A272" t="s">
        <v>106</v>
      </c>
      <c r="B272" t="s">
        <v>41</v>
      </c>
      <c r="C272" t="s">
        <v>56</v>
      </c>
    </row>
    <row r="273" spans="1:6" x14ac:dyDescent="0.25">
      <c r="A273" t="s">
        <v>16</v>
      </c>
    </row>
    <row r="274" spans="1:6" x14ac:dyDescent="0.25">
      <c r="A274" t="s">
        <v>17</v>
      </c>
      <c r="B274" t="s">
        <v>43</v>
      </c>
      <c r="C274" t="s">
        <v>44</v>
      </c>
      <c r="D274" t="s">
        <v>8</v>
      </c>
      <c r="E274" t="s">
        <v>45</v>
      </c>
      <c r="F274" t="s">
        <v>46</v>
      </c>
    </row>
    <row r="275" spans="1:6" x14ac:dyDescent="0.25">
      <c r="A275" t="s">
        <v>106</v>
      </c>
      <c r="B275" t="s">
        <v>107</v>
      </c>
      <c r="C275" t="s">
        <v>48</v>
      </c>
      <c r="D275" t="s">
        <v>49</v>
      </c>
      <c r="E275" t="str">
        <f>HYPERLINK("https://kvtnl.sharepoint.com/sites/BCDocumentRepository/Equipment/10026332_EdgeConnex-AMS05 GE-16-GENCB100 SET/100_SERV_REP_PDF/10026332_20260414_WO2601652_EdgeConnex-AMS05 GE-16-GENCB100 SET_122H_QOH_1588.pdf","PDF")</f>
        <v>PDF</v>
      </c>
      <c r="F275" t="str">
        <f>HYPERLINK("https://kvtnl.sharepoint.com/sites/BCDocumentRepository/Equipment/10026332_EdgeConnex-AMS05 GE-16-GENCB100 SET/101_SERV_REP_EXCEL/10026332_20260414_WO2601652_122H_QOH_1588.xlsm","Excel")</f>
        <v>Excel</v>
      </c>
    </row>
    <row r="276" spans="1:6" x14ac:dyDescent="0.25">
      <c r="A276" t="s">
        <v>106</v>
      </c>
      <c r="B276" t="s">
        <v>108</v>
      </c>
      <c r="C276" t="s">
        <v>73</v>
      </c>
      <c r="D276" t="s">
        <v>74</v>
      </c>
      <c r="E276" t="str">
        <f>HYPERLINK("https://kvtnl.sharepoint.com/sites/BCDocumentRepository/Equipment/10026332_EdgeConnex-AMS05 GE-16-GENCB100 SET/100_SERV_REP_PDF/10026332_20260602_WO2601649_EdgeConnex-AMS05 GE-16-GENCB100 SET_123H_GOH SA LB ST24_1832.pdf","PDF")</f>
        <v>PDF</v>
      </c>
      <c r="F276" t="str">
        <f>HYPERLINK("https://kvtnl.sharepoint.com/sites/BCDocumentRepository/Equipment/10026332_EdgeConnex-AMS05 GE-16-GENCB100 SET/101_SERV_REP_EXCEL/10026332_20260602_WO2601649_123H_GOH SA LB ST24_1832.xlsm","Excel")</f>
        <v>Excel</v>
      </c>
    </row>
    <row r="277" spans="1:6" x14ac:dyDescent="0.25">
      <c r="A277" t="s">
        <v>16</v>
      </c>
    </row>
    <row r="278" spans="1:6" x14ac:dyDescent="0.25">
      <c r="A278" t="s">
        <v>17</v>
      </c>
      <c r="B278" t="s">
        <v>18</v>
      </c>
      <c r="C278" t="s">
        <v>19</v>
      </c>
    </row>
    <row r="279" spans="1:6" x14ac:dyDescent="0.25">
      <c r="A279" t="s">
        <v>109</v>
      </c>
      <c r="B279" t="s">
        <v>21</v>
      </c>
      <c r="C279" t="s">
        <v>22</v>
      </c>
    </row>
    <row r="280" spans="1:6" x14ac:dyDescent="0.25">
      <c r="A280" t="s">
        <v>109</v>
      </c>
      <c r="B280" t="s">
        <v>23</v>
      </c>
      <c r="C280" t="s">
        <v>24</v>
      </c>
    </row>
    <row r="281" spans="1:6" x14ac:dyDescent="0.25">
      <c r="A281" t="s">
        <v>109</v>
      </c>
      <c r="B281" t="s">
        <v>25</v>
      </c>
      <c r="C281" t="s">
        <v>26</v>
      </c>
    </row>
    <row r="282" spans="1:6" x14ac:dyDescent="0.25">
      <c r="A282" t="s">
        <v>109</v>
      </c>
      <c r="B282" t="s">
        <v>27</v>
      </c>
      <c r="C282" t="s">
        <v>28</v>
      </c>
    </row>
    <row r="283" spans="1:6" x14ac:dyDescent="0.25">
      <c r="A283" t="s">
        <v>109</v>
      </c>
      <c r="B283" t="s">
        <v>29</v>
      </c>
      <c r="C283" t="s">
        <v>52</v>
      </c>
    </row>
    <row r="284" spans="1:6" x14ac:dyDescent="0.25">
      <c r="A284" t="s">
        <v>109</v>
      </c>
      <c r="B284" t="s">
        <v>31</v>
      </c>
      <c r="C284" t="s">
        <v>101</v>
      </c>
    </row>
    <row r="285" spans="1:6" x14ac:dyDescent="0.25">
      <c r="A285" t="s">
        <v>109</v>
      </c>
      <c r="B285" t="s">
        <v>33</v>
      </c>
      <c r="C285" t="s">
        <v>102</v>
      </c>
    </row>
    <row r="286" spans="1:6" x14ac:dyDescent="0.25">
      <c r="A286" t="s">
        <v>109</v>
      </c>
      <c r="B286" t="s">
        <v>93</v>
      </c>
      <c r="C286" t="s">
        <v>103</v>
      </c>
    </row>
    <row r="287" spans="1:6" x14ac:dyDescent="0.25">
      <c r="A287" t="s">
        <v>109</v>
      </c>
      <c r="B287" t="s">
        <v>35</v>
      </c>
      <c r="C287" t="s">
        <v>36</v>
      </c>
    </row>
    <row r="288" spans="1:6" x14ac:dyDescent="0.25">
      <c r="A288" t="s">
        <v>109</v>
      </c>
      <c r="B288" t="s">
        <v>37</v>
      </c>
      <c r="C288" t="s">
        <v>38</v>
      </c>
    </row>
    <row r="289" spans="1:6" x14ac:dyDescent="0.25">
      <c r="A289" t="s">
        <v>109</v>
      </c>
      <c r="B289" t="s">
        <v>39</v>
      </c>
      <c r="C289" t="s">
        <v>53</v>
      </c>
    </row>
    <row r="290" spans="1:6" x14ac:dyDescent="0.25">
      <c r="A290" t="s">
        <v>109</v>
      </c>
      <c r="B290" t="s">
        <v>41</v>
      </c>
      <c r="C290" t="s">
        <v>56</v>
      </c>
    </row>
    <row r="291" spans="1:6" x14ac:dyDescent="0.25">
      <c r="A291" t="s">
        <v>16</v>
      </c>
    </row>
    <row r="292" spans="1:6" x14ac:dyDescent="0.25">
      <c r="A292" t="s">
        <v>17</v>
      </c>
      <c r="B292" t="s">
        <v>43</v>
      </c>
      <c r="C292" t="s">
        <v>44</v>
      </c>
      <c r="D292" t="s">
        <v>8</v>
      </c>
      <c r="E292" t="s">
        <v>45</v>
      </c>
      <c r="F292" t="s">
        <v>46</v>
      </c>
    </row>
    <row r="293" spans="1:6" x14ac:dyDescent="0.25">
      <c r="A293" t="s">
        <v>109</v>
      </c>
      <c r="B293" t="s">
        <v>110</v>
      </c>
      <c r="C293" t="s">
        <v>48</v>
      </c>
      <c r="D293" t="s">
        <v>49</v>
      </c>
      <c r="E293" t="str">
        <f>HYPERLINK("https://kvtnl.sharepoint.com/sites/BCDocumentRepository/Equipment/10026333_EdgeConnex-AMS05 GE-17-GENCC100 SET/100_SERV_REP_PDF/10026333_20260415_WO2601663_EdgeConnex-AMS05 GE-17-GENCC100 SET_138H_QOH_1588.pdf","PDF")</f>
        <v>PDF</v>
      </c>
      <c r="F293" t="str">
        <f>HYPERLINK("https://kvtnl.sharepoint.com/sites/BCDocumentRepository/Equipment/10026333_EdgeConnex-AMS05 GE-17-GENCC100 SET/101_SERV_REP_EXCEL/10026333_20260415_WO2601663_138H_QOH_1588.xlsm","Excel")</f>
        <v>Excel</v>
      </c>
    </row>
    <row r="294" spans="1:6" x14ac:dyDescent="0.25">
      <c r="A294" t="s">
        <v>109</v>
      </c>
      <c r="B294" t="s">
        <v>111</v>
      </c>
      <c r="C294" t="s">
        <v>73</v>
      </c>
      <c r="D294" t="s">
        <v>74</v>
      </c>
      <c r="E294" t="str">
        <f>HYPERLINK("https://kvtnl.sharepoint.com/sites/BCDocumentRepository/Equipment/10026333_EdgeConnex-AMS05 GE-17-GENCC100 SET/100_SERV_REP_PDF/10026333_20260603_WO2601660_EdgeConnex-AMS05 GE-17-GENCC100 SET_139H_GOH SA LB ST24_1358.pdf","PDF")</f>
        <v>PDF</v>
      </c>
      <c r="F294" t="str">
        <f>HYPERLINK("https://kvtnl.sharepoint.com/sites/BCDocumentRepository/Equipment/10026333_EdgeConnex-AMS05 GE-17-GENCC100 SET/101_SERV_REP_EXCEL/10026333_20260603_WO2601660_139H_GOH SA LB ST24_1358.xlsm","Excel")</f>
        <v>Excel</v>
      </c>
    </row>
    <row r="295" spans="1:6" x14ac:dyDescent="0.25">
      <c r="A295" t="s">
        <v>16</v>
      </c>
    </row>
    <row r="296" spans="1:6" x14ac:dyDescent="0.25">
      <c r="A296" t="s">
        <v>17</v>
      </c>
      <c r="B296" t="s">
        <v>18</v>
      </c>
      <c r="C296" t="s">
        <v>19</v>
      </c>
    </row>
    <row r="297" spans="1:6" x14ac:dyDescent="0.25">
      <c r="A297" t="s">
        <v>112</v>
      </c>
      <c r="B297" t="s">
        <v>21</v>
      </c>
      <c r="C297" t="s">
        <v>22</v>
      </c>
    </row>
    <row r="298" spans="1:6" x14ac:dyDescent="0.25">
      <c r="A298" t="s">
        <v>112</v>
      </c>
      <c r="B298" t="s">
        <v>23</v>
      </c>
      <c r="C298" t="s">
        <v>24</v>
      </c>
    </row>
    <row r="299" spans="1:6" x14ac:dyDescent="0.25">
      <c r="A299" t="s">
        <v>112</v>
      </c>
      <c r="B299" t="s">
        <v>25</v>
      </c>
      <c r="C299" t="s">
        <v>26</v>
      </c>
    </row>
    <row r="300" spans="1:6" x14ac:dyDescent="0.25">
      <c r="A300" t="s">
        <v>112</v>
      </c>
      <c r="B300" t="s">
        <v>27</v>
      </c>
      <c r="C300" t="s">
        <v>28</v>
      </c>
    </row>
    <row r="301" spans="1:6" x14ac:dyDescent="0.25">
      <c r="A301" t="s">
        <v>112</v>
      </c>
      <c r="B301" t="s">
        <v>29</v>
      </c>
      <c r="C301" t="s">
        <v>52</v>
      </c>
    </row>
    <row r="302" spans="1:6" x14ac:dyDescent="0.25">
      <c r="A302" t="s">
        <v>112</v>
      </c>
      <c r="B302" t="s">
        <v>31</v>
      </c>
      <c r="C302" t="s">
        <v>101</v>
      </c>
    </row>
    <row r="303" spans="1:6" x14ac:dyDescent="0.25">
      <c r="A303" t="s">
        <v>112</v>
      </c>
      <c r="B303" t="s">
        <v>33</v>
      </c>
      <c r="C303" t="s">
        <v>102</v>
      </c>
    </row>
    <row r="304" spans="1:6" x14ac:dyDescent="0.25">
      <c r="A304" t="s">
        <v>112</v>
      </c>
      <c r="B304" t="s">
        <v>93</v>
      </c>
      <c r="C304" t="s">
        <v>103</v>
      </c>
    </row>
    <row r="305" spans="1:6" x14ac:dyDescent="0.25">
      <c r="A305" t="s">
        <v>112</v>
      </c>
      <c r="B305" t="s">
        <v>35</v>
      </c>
      <c r="C305" t="s">
        <v>36</v>
      </c>
    </row>
    <row r="306" spans="1:6" x14ac:dyDescent="0.25">
      <c r="A306" t="s">
        <v>112</v>
      </c>
      <c r="B306" t="s">
        <v>37</v>
      </c>
      <c r="C306" t="s">
        <v>38</v>
      </c>
    </row>
    <row r="307" spans="1:6" x14ac:dyDescent="0.25">
      <c r="A307" t="s">
        <v>112</v>
      </c>
      <c r="B307" t="s">
        <v>39</v>
      </c>
      <c r="C307" t="s">
        <v>53</v>
      </c>
    </row>
    <row r="308" spans="1:6" x14ac:dyDescent="0.25">
      <c r="A308" t="s">
        <v>112</v>
      </c>
      <c r="B308" t="s">
        <v>41</v>
      </c>
      <c r="C308" t="s">
        <v>56</v>
      </c>
    </row>
    <row r="309" spans="1:6" x14ac:dyDescent="0.25">
      <c r="A309" t="s">
        <v>16</v>
      </c>
    </row>
    <row r="310" spans="1:6" x14ac:dyDescent="0.25">
      <c r="A310" t="s">
        <v>17</v>
      </c>
      <c r="B310" t="s">
        <v>43</v>
      </c>
      <c r="C310" t="s">
        <v>44</v>
      </c>
      <c r="D310" t="s">
        <v>8</v>
      </c>
      <c r="E310" t="s">
        <v>45</v>
      </c>
      <c r="F310" t="s">
        <v>46</v>
      </c>
    </row>
    <row r="311" spans="1:6" x14ac:dyDescent="0.25">
      <c r="A311" t="s">
        <v>112</v>
      </c>
      <c r="B311" t="s">
        <v>113</v>
      </c>
      <c r="C311" t="s">
        <v>48</v>
      </c>
      <c r="D311" t="s">
        <v>49</v>
      </c>
      <c r="E311" t="str">
        <f>HYPERLINK("https://kvtnl.sharepoint.com/sites/BCDocumentRepository/Equipment/10026334_EdgeConnex-AMS05 GE-18-GENCD100 SET/100_SERV_REP_PDF/10026334_20260415_WO2601674_EdgeConnex-AMS05 GE-18-GENCD100 SET_120H_QOH_1588.pdf","PDF")</f>
        <v>PDF</v>
      </c>
      <c r="F311" t="str">
        <f>HYPERLINK("https://kvtnl.sharepoint.com/sites/BCDocumentRepository/Equipment/10026334_EdgeConnex-AMS05 GE-18-GENCD100 SET/101_SERV_REP_EXCEL/10026334_20260415_WO2601674_120H_QOH_1588.xlsm","Excel")</f>
        <v>Excel</v>
      </c>
    </row>
    <row r="312" spans="1:6" x14ac:dyDescent="0.25">
      <c r="A312" t="s">
        <v>112</v>
      </c>
      <c r="B312" t="s">
        <v>114</v>
      </c>
      <c r="C312" t="s">
        <v>73</v>
      </c>
      <c r="D312" t="s">
        <v>74</v>
      </c>
      <c r="E312" t="str">
        <f>HYPERLINK("https://kvtnl.sharepoint.com/sites/BCDocumentRepository/Equipment/10026334_EdgeConnex-AMS05 GE-18-GENCD100 SET/100_SERV_REP_PDF/10026334_20260604_WO2601671_EdgeConnex-AMS05 GE-18-GENCD100 SET_122H_GOH SA LB ST24_1527.pdf","PDF")</f>
        <v>PDF</v>
      </c>
      <c r="F312" t="str">
        <f>HYPERLINK("https://kvtnl.sharepoint.com/sites/BCDocumentRepository/Equipment/10026334_EdgeConnex-AMS05 GE-18-GENCD100 SET/101_SERV_REP_EXCEL/10026334_20260604_WO2601671_122H_GOH SA LB ST24_1527.xlsm","Excel")</f>
        <v>Excel</v>
      </c>
    </row>
    <row r="313" spans="1:6" x14ac:dyDescent="0.25">
      <c r="A313" t="s">
        <v>16</v>
      </c>
    </row>
    <row r="314" spans="1:6" x14ac:dyDescent="0.25">
      <c r="A314" t="s">
        <v>17</v>
      </c>
      <c r="B314" t="s">
        <v>18</v>
      </c>
      <c r="C314" t="s">
        <v>19</v>
      </c>
    </row>
    <row r="315" spans="1:6" x14ac:dyDescent="0.25">
      <c r="A315" t="s">
        <v>115</v>
      </c>
      <c r="B315" t="s">
        <v>21</v>
      </c>
      <c r="C315" t="s">
        <v>22</v>
      </c>
    </row>
    <row r="316" spans="1:6" x14ac:dyDescent="0.25">
      <c r="A316" t="s">
        <v>115</v>
      </c>
      <c r="B316" t="s">
        <v>23</v>
      </c>
      <c r="C316" t="s">
        <v>24</v>
      </c>
    </row>
    <row r="317" spans="1:6" x14ac:dyDescent="0.25">
      <c r="A317" t="s">
        <v>115</v>
      </c>
      <c r="B317" t="s">
        <v>25</v>
      </c>
      <c r="C317" t="s">
        <v>26</v>
      </c>
    </row>
    <row r="318" spans="1:6" x14ac:dyDescent="0.25">
      <c r="A318" t="s">
        <v>115</v>
      </c>
      <c r="B318" t="s">
        <v>27</v>
      </c>
      <c r="C318" t="s">
        <v>28</v>
      </c>
    </row>
    <row r="319" spans="1:6" x14ac:dyDescent="0.25">
      <c r="A319" t="s">
        <v>115</v>
      </c>
      <c r="B319" t="s">
        <v>29</v>
      </c>
      <c r="C319" t="s">
        <v>52</v>
      </c>
    </row>
    <row r="320" spans="1:6" x14ac:dyDescent="0.25">
      <c r="A320" t="s">
        <v>115</v>
      </c>
      <c r="B320" t="s">
        <v>31</v>
      </c>
      <c r="C320" t="s">
        <v>101</v>
      </c>
    </row>
    <row r="321" spans="1:6" x14ac:dyDescent="0.25">
      <c r="A321" t="s">
        <v>115</v>
      </c>
      <c r="B321" t="s">
        <v>93</v>
      </c>
      <c r="C321" t="s">
        <v>103</v>
      </c>
    </row>
    <row r="322" spans="1:6" x14ac:dyDescent="0.25">
      <c r="A322" t="s">
        <v>115</v>
      </c>
      <c r="B322" t="s">
        <v>35</v>
      </c>
      <c r="C322" t="s">
        <v>36</v>
      </c>
    </row>
    <row r="323" spans="1:6" x14ac:dyDescent="0.25">
      <c r="A323" t="s">
        <v>115</v>
      </c>
      <c r="B323" t="s">
        <v>116</v>
      </c>
      <c r="C323" t="s">
        <v>117</v>
      </c>
    </row>
    <row r="324" spans="1:6" x14ac:dyDescent="0.25">
      <c r="A324" t="s">
        <v>115</v>
      </c>
      <c r="B324" t="s">
        <v>37</v>
      </c>
      <c r="C324" t="s">
        <v>38</v>
      </c>
    </row>
    <row r="325" spans="1:6" x14ac:dyDescent="0.25">
      <c r="A325" t="s">
        <v>115</v>
      </c>
      <c r="B325" t="s">
        <v>118</v>
      </c>
      <c r="C325" t="s">
        <v>119</v>
      </c>
    </row>
    <row r="326" spans="1:6" x14ac:dyDescent="0.25">
      <c r="A326" t="s">
        <v>115</v>
      </c>
      <c r="B326" t="s">
        <v>39</v>
      </c>
      <c r="C326" t="s">
        <v>53</v>
      </c>
    </row>
    <row r="327" spans="1:6" x14ac:dyDescent="0.25">
      <c r="A327" t="s">
        <v>115</v>
      </c>
      <c r="B327" t="s">
        <v>41</v>
      </c>
      <c r="C327" t="s">
        <v>56</v>
      </c>
    </row>
    <row r="328" spans="1:6" x14ac:dyDescent="0.25">
      <c r="A328" t="s">
        <v>16</v>
      </c>
    </row>
    <row r="329" spans="1:6" x14ac:dyDescent="0.25">
      <c r="A329" t="s">
        <v>17</v>
      </c>
      <c r="B329" t="s">
        <v>43</v>
      </c>
      <c r="C329" t="s">
        <v>44</v>
      </c>
      <c r="D329" t="s">
        <v>8</v>
      </c>
      <c r="E329" t="s">
        <v>45</v>
      </c>
      <c r="F329" t="s">
        <v>46</v>
      </c>
    </row>
    <row r="330" spans="1:6" x14ac:dyDescent="0.25">
      <c r="A330" t="s">
        <v>115</v>
      </c>
      <c r="B330" t="s">
        <v>120</v>
      </c>
      <c r="C330" t="s">
        <v>48</v>
      </c>
      <c r="D330" t="s">
        <v>49</v>
      </c>
      <c r="E330" t="str">
        <f>HYPERLINK("https://kvtnl.sharepoint.com/sites/BCDocumentRepository/Equipment/10026335_EdgeConnex-AMS05 GE-19-GENCE100 SET/100_SERV_REP_PDF/10026335_20260415_WO2601685_EdgeConnex-AMS05 GE-19-GENCE100 SET_120H_QOH_1588.pdf","PDF")</f>
        <v>PDF</v>
      </c>
      <c r="F330" t="str">
        <f>HYPERLINK("https://kvtnl.sharepoint.com/sites/BCDocumentRepository/Equipment/10026335_EdgeConnex-AMS05 GE-19-GENCE100 SET/101_SERV_REP_EXCEL/10026335_20260415_WO2601685_120H_QOH_1588.xlsm","Excel")</f>
        <v>Excel</v>
      </c>
    </row>
    <row r="331" spans="1:6" x14ac:dyDescent="0.25">
      <c r="A331" t="s">
        <v>115</v>
      </c>
      <c r="B331" t="s">
        <v>121</v>
      </c>
      <c r="C331" t="s">
        <v>73</v>
      </c>
      <c r="D331" t="s">
        <v>74</v>
      </c>
      <c r="E331" t="str">
        <f>HYPERLINK("https://kvtnl.sharepoint.com/sites/BCDocumentRepository/Equipment/10026335_EdgeConnex-AMS05 GE-19-GENCE100 SET/100_SERV_REP_PDF/10026335_20260608_WO2601682_EdgeConnex-AMS05 GE-19-GENCE100 SET_122H_GOH SA LB ST24_1358.pdf","PDF")</f>
        <v>PDF</v>
      </c>
      <c r="F331" t="str">
        <f>HYPERLINK("https://kvtnl.sharepoint.com/sites/BCDocumentRepository/Equipment/10026335_EdgeConnex-AMS05 GE-19-GENCE100 SET/101_SERV_REP_EXCEL/10026335_20260608_WO2601682_122H_GOH SA LB ST24_1358.xlsm","Excel")</f>
        <v>Excel</v>
      </c>
    </row>
    <row r="332" spans="1:6" x14ac:dyDescent="0.25">
      <c r="A332" t="s">
        <v>16</v>
      </c>
    </row>
    <row r="333" spans="1:6" x14ac:dyDescent="0.25">
      <c r="A333" t="s">
        <v>17</v>
      </c>
      <c r="B333" t="s">
        <v>18</v>
      </c>
      <c r="C333" t="s">
        <v>19</v>
      </c>
    </row>
    <row r="334" spans="1:6" x14ac:dyDescent="0.25">
      <c r="A334" t="s">
        <v>122</v>
      </c>
      <c r="B334" t="s">
        <v>21</v>
      </c>
      <c r="C334" t="s">
        <v>22</v>
      </c>
    </row>
    <row r="335" spans="1:6" x14ac:dyDescent="0.25">
      <c r="A335" t="s">
        <v>122</v>
      </c>
      <c r="B335" t="s">
        <v>23</v>
      </c>
      <c r="C335" t="s">
        <v>24</v>
      </c>
    </row>
    <row r="336" spans="1:6" x14ac:dyDescent="0.25">
      <c r="A336" t="s">
        <v>122</v>
      </c>
      <c r="B336" t="s">
        <v>25</v>
      </c>
      <c r="C336" t="s">
        <v>26</v>
      </c>
    </row>
    <row r="337" spans="1:6" x14ac:dyDescent="0.25">
      <c r="A337" t="s">
        <v>122</v>
      </c>
      <c r="B337" t="s">
        <v>27</v>
      </c>
      <c r="C337" t="s">
        <v>28</v>
      </c>
    </row>
    <row r="338" spans="1:6" x14ac:dyDescent="0.25">
      <c r="A338" t="s">
        <v>122</v>
      </c>
      <c r="B338" t="s">
        <v>29</v>
      </c>
      <c r="C338" t="s">
        <v>52</v>
      </c>
    </row>
    <row r="339" spans="1:6" x14ac:dyDescent="0.25">
      <c r="A339" t="s">
        <v>122</v>
      </c>
      <c r="B339" t="s">
        <v>31</v>
      </c>
      <c r="C339" t="s">
        <v>101</v>
      </c>
    </row>
    <row r="340" spans="1:6" x14ac:dyDescent="0.25">
      <c r="A340" t="s">
        <v>122</v>
      </c>
      <c r="B340" t="s">
        <v>33</v>
      </c>
      <c r="C340" t="s">
        <v>102</v>
      </c>
    </row>
    <row r="341" spans="1:6" x14ac:dyDescent="0.25">
      <c r="A341" t="s">
        <v>122</v>
      </c>
      <c r="B341" t="s">
        <v>93</v>
      </c>
      <c r="C341" t="s">
        <v>103</v>
      </c>
    </row>
    <row r="342" spans="1:6" x14ac:dyDescent="0.25">
      <c r="A342" t="s">
        <v>122</v>
      </c>
      <c r="B342" t="s">
        <v>35</v>
      </c>
      <c r="C342" t="s">
        <v>36</v>
      </c>
    </row>
    <row r="343" spans="1:6" x14ac:dyDescent="0.25">
      <c r="A343" t="s">
        <v>122</v>
      </c>
      <c r="B343" t="s">
        <v>37</v>
      </c>
      <c r="C343" t="s">
        <v>38</v>
      </c>
    </row>
    <row r="344" spans="1:6" x14ac:dyDescent="0.25">
      <c r="A344" t="s">
        <v>122</v>
      </c>
      <c r="B344" t="s">
        <v>39</v>
      </c>
      <c r="C344" t="s">
        <v>53</v>
      </c>
    </row>
    <row r="345" spans="1:6" x14ac:dyDescent="0.25">
      <c r="A345" t="s">
        <v>122</v>
      </c>
      <c r="B345" t="s">
        <v>41</v>
      </c>
      <c r="C345" t="s">
        <v>56</v>
      </c>
    </row>
    <row r="346" spans="1:6" x14ac:dyDescent="0.25">
      <c r="A346" t="s">
        <v>16</v>
      </c>
    </row>
    <row r="347" spans="1:6" x14ac:dyDescent="0.25">
      <c r="A347" t="s">
        <v>17</v>
      </c>
      <c r="B347" t="s">
        <v>43</v>
      </c>
      <c r="C347" t="s">
        <v>44</v>
      </c>
      <c r="D347" t="s">
        <v>8</v>
      </c>
      <c r="E347" t="s">
        <v>45</v>
      </c>
      <c r="F347" t="s">
        <v>46</v>
      </c>
    </row>
    <row r="348" spans="1:6" x14ac:dyDescent="0.25">
      <c r="A348" t="s">
        <v>122</v>
      </c>
      <c r="B348" t="s">
        <v>123</v>
      </c>
      <c r="C348" t="s">
        <v>48</v>
      </c>
      <c r="D348" t="s">
        <v>49</v>
      </c>
      <c r="E348" t="str">
        <f>HYPERLINK("https://kvtnl.sharepoint.com/sites/BCDocumentRepository/Equipment/10026336_EdgeConnex-AMS05 GE-20-GENCF100 SET/100_SERV_REP_PDF/10026336_20260415_WO2601696_EdgeConnex-AMS05 GE-20-GENCF100 SET_120H_QOH_1588.pdf","PDF")</f>
        <v>PDF</v>
      </c>
      <c r="F348" t="str">
        <f>HYPERLINK("https://kvtnl.sharepoint.com/sites/BCDocumentRepository/Equipment/10026336_EdgeConnex-AMS05 GE-20-GENCF100 SET/101_SERV_REP_EXCEL/10026336_20260415_WO2601696_120H_QOH_1588.xlsm","Excel")</f>
        <v>Excel</v>
      </c>
    </row>
    <row r="349" spans="1:6" x14ac:dyDescent="0.25">
      <c r="A349" t="s">
        <v>122</v>
      </c>
      <c r="B349" t="s">
        <v>124</v>
      </c>
      <c r="C349" t="s">
        <v>73</v>
      </c>
      <c r="D349" t="s">
        <v>74</v>
      </c>
      <c r="E349" t="str">
        <f>HYPERLINK("https://kvtnl.sharepoint.com/sites/BCDocumentRepository/Equipment/10026336_EdgeConnex-AMS05 GE-20-GENCF100 SET/100_SERV_REP_PDF/10026336_20260609_WO2601693_EdgeConnex-AMS05 GE-20-GENCF100 SET_122H_GOH SA LB ST24_1358.pdf","PDF")</f>
        <v>PDF</v>
      </c>
      <c r="F349" t="str">
        <f>HYPERLINK("https://kvtnl.sharepoint.com/sites/BCDocumentRepository/Equipment/10026336_EdgeConnex-AMS05 GE-20-GENCF100 SET/101_SERV_REP_EXCEL/10026336_20260609_WO2601693_122H_GOH SA LB ST24_1358.xlsm","Excel")</f>
        <v>Excel</v>
      </c>
    </row>
    <row r="350" spans="1:6" x14ac:dyDescent="0.25">
      <c r="A350" t="s">
        <v>16</v>
      </c>
    </row>
    <row r="351" spans="1:6" x14ac:dyDescent="0.25">
      <c r="A351" t="s">
        <v>17</v>
      </c>
      <c r="B351" t="s">
        <v>18</v>
      </c>
      <c r="C351" t="s">
        <v>19</v>
      </c>
    </row>
    <row r="352" spans="1:6" x14ac:dyDescent="0.25">
      <c r="A352" t="s">
        <v>125</v>
      </c>
      <c r="B352" t="s">
        <v>21</v>
      </c>
      <c r="C352" t="s">
        <v>22</v>
      </c>
    </row>
    <row r="353" spans="1:6" x14ac:dyDescent="0.25">
      <c r="A353" t="s">
        <v>125</v>
      </c>
      <c r="B353" t="s">
        <v>23</v>
      </c>
      <c r="C353" t="s">
        <v>24</v>
      </c>
    </row>
    <row r="354" spans="1:6" x14ac:dyDescent="0.25">
      <c r="A354" t="s">
        <v>125</v>
      </c>
      <c r="B354" t="s">
        <v>25</v>
      </c>
      <c r="C354" t="s">
        <v>26</v>
      </c>
    </row>
    <row r="355" spans="1:6" x14ac:dyDescent="0.25">
      <c r="A355" t="s">
        <v>125</v>
      </c>
      <c r="B355" t="s">
        <v>27</v>
      </c>
      <c r="C355" t="s">
        <v>28</v>
      </c>
    </row>
    <row r="356" spans="1:6" x14ac:dyDescent="0.25">
      <c r="A356" t="s">
        <v>125</v>
      </c>
      <c r="B356" t="s">
        <v>29</v>
      </c>
      <c r="C356" t="s">
        <v>52</v>
      </c>
    </row>
    <row r="357" spans="1:6" x14ac:dyDescent="0.25">
      <c r="A357" t="s">
        <v>125</v>
      </c>
      <c r="B357" t="s">
        <v>31</v>
      </c>
      <c r="C357" t="s">
        <v>101</v>
      </c>
    </row>
    <row r="358" spans="1:6" x14ac:dyDescent="0.25">
      <c r="A358" t="s">
        <v>125</v>
      </c>
      <c r="B358" t="s">
        <v>33</v>
      </c>
      <c r="C358" t="s">
        <v>102</v>
      </c>
    </row>
    <row r="359" spans="1:6" x14ac:dyDescent="0.25">
      <c r="A359" t="s">
        <v>125</v>
      </c>
      <c r="B359" t="s">
        <v>93</v>
      </c>
      <c r="C359" t="s">
        <v>103</v>
      </c>
    </row>
    <row r="360" spans="1:6" x14ac:dyDescent="0.25">
      <c r="A360" t="s">
        <v>125</v>
      </c>
      <c r="B360" t="s">
        <v>35</v>
      </c>
      <c r="C360" t="s">
        <v>36</v>
      </c>
    </row>
    <row r="361" spans="1:6" x14ac:dyDescent="0.25">
      <c r="A361" t="s">
        <v>125</v>
      </c>
      <c r="B361" t="s">
        <v>37</v>
      </c>
      <c r="C361" t="s">
        <v>38</v>
      </c>
    </row>
    <row r="362" spans="1:6" x14ac:dyDescent="0.25">
      <c r="A362" t="s">
        <v>125</v>
      </c>
      <c r="B362" t="s">
        <v>39</v>
      </c>
      <c r="C362" t="s">
        <v>53</v>
      </c>
    </row>
    <row r="363" spans="1:6" x14ac:dyDescent="0.25">
      <c r="A363" t="s">
        <v>125</v>
      </c>
      <c r="B363" t="s">
        <v>41</v>
      </c>
      <c r="C363" t="s">
        <v>56</v>
      </c>
    </row>
    <row r="364" spans="1:6" x14ac:dyDescent="0.25">
      <c r="A364" t="s">
        <v>16</v>
      </c>
    </row>
    <row r="365" spans="1:6" x14ac:dyDescent="0.25">
      <c r="A365" t="s">
        <v>17</v>
      </c>
      <c r="B365" t="s">
        <v>43</v>
      </c>
      <c r="C365" t="s">
        <v>44</v>
      </c>
      <c r="D365" t="s">
        <v>8</v>
      </c>
      <c r="E365" t="s">
        <v>45</v>
      </c>
      <c r="F365" t="s">
        <v>46</v>
      </c>
    </row>
    <row r="366" spans="1:6" x14ac:dyDescent="0.25">
      <c r="A366" t="s">
        <v>125</v>
      </c>
      <c r="B366" t="s">
        <v>126</v>
      </c>
      <c r="C366" t="s">
        <v>48</v>
      </c>
      <c r="D366" t="s">
        <v>49</v>
      </c>
      <c r="E366" t="str">
        <f>HYPERLINK("https://kvtnl.sharepoint.com/sites/BCDocumentRepository/Equipment/10026337_EdgeConnex-AMS05 GE-21-GENCG100 SET/100_SERV_REP_PDF/10026337_20260414_WO2601707_EdgeConnex-AMS05 GE-21-GENCG100 SET_128H_QOH_1588.pdf","PDF")</f>
        <v>PDF</v>
      </c>
      <c r="F366" t="str">
        <f>HYPERLINK("https://kvtnl.sharepoint.com/sites/BCDocumentRepository/Equipment/10026337_EdgeConnex-AMS05 GE-21-GENCG100 SET/101_SERV_REP_EXCEL/10026337_20260414_WO2601707_128H_QOH_1588.xlsm","Excel")</f>
        <v>Excel</v>
      </c>
    </row>
    <row r="367" spans="1:6" x14ac:dyDescent="0.25">
      <c r="A367" t="s">
        <v>125</v>
      </c>
      <c r="B367" t="s">
        <v>127</v>
      </c>
      <c r="C367" t="s">
        <v>73</v>
      </c>
      <c r="D367" t="s">
        <v>74</v>
      </c>
      <c r="E367" t="str">
        <f>HYPERLINK("https://kvtnl.sharepoint.com/sites/BCDocumentRepository/Equipment/10026337_EdgeConnex-AMS05 GE-21-GENCG100 SET/100_SERV_REP_PDF/10026337_20260610_WO2601704_EdgeConnex-AMS05 GE-21-GENCG100 SET_130H_GOH SA LB ST24_1358.pdf","PDF")</f>
        <v>PDF</v>
      </c>
      <c r="F367" t="str">
        <f>HYPERLINK("https://kvtnl.sharepoint.com/sites/BCDocumentRepository/Equipment/10026337_EdgeConnex-AMS05 GE-21-GENCG100 SET/101_SERV_REP_EXCEL/10026337_20260610_WO2601704_130H_GOH SA LB ST24_1358.xlsm","Excel")</f>
        <v>Excel</v>
      </c>
    </row>
    <row r="368" spans="1:6" x14ac:dyDescent="0.25">
      <c r="A368" t="s">
        <v>16</v>
      </c>
    </row>
    <row r="369" spans="1:6" x14ac:dyDescent="0.25">
      <c r="A369" t="s">
        <v>17</v>
      </c>
      <c r="B369" t="s">
        <v>18</v>
      </c>
      <c r="C369" t="s">
        <v>19</v>
      </c>
    </row>
    <row r="370" spans="1:6" x14ac:dyDescent="0.25">
      <c r="A370" t="s">
        <v>128</v>
      </c>
      <c r="B370" t="s">
        <v>21</v>
      </c>
      <c r="C370" t="s">
        <v>22</v>
      </c>
    </row>
    <row r="371" spans="1:6" x14ac:dyDescent="0.25">
      <c r="A371" t="s">
        <v>128</v>
      </c>
      <c r="B371" t="s">
        <v>23</v>
      </c>
      <c r="C371" t="s">
        <v>24</v>
      </c>
    </row>
    <row r="372" spans="1:6" x14ac:dyDescent="0.25">
      <c r="A372" t="s">
        <v>128</v>
      </c>
      <c r="B372" t="s">
        <v>25</v>
      </c>
      <c r="C372" t="s">
        <v>26</v>
      </c>
    </row>
    <row r="373" spans="1:6" x14ac:dyDescent="0.25">
      <c r="A373" t="s">
        <v>128</v>
      </c>
      <c r="B373" t="s">
        <v>27</v>
      </c>
      <c r="C373" t="s">
        <v>28</v>
      </c>
    </row>
    <row r="374" spans="1:6" x14ac:dyDescent="0.25">
      <c r="A374" t="s">
        <v>128</v>
      </c>
      <c r="B374" t="s">
        <v>29</v>
      </c>
      <c r="C374" t="s">
        <v>129</v>
      </c>
    </row>
    <row r="375" spans="1:6" x14ac:dyDescent="0.25">
      <c r="A375" t="s">
        <v>128</v>
      </c>
      <c r="B375" t="s">
        <v>31</v>
      </c>
      <c r="C375" t="s">
        <v>130</v>
      </c>
    </row>
    <row r="376" spans="1:6" x14ac:dyDescent="0.25">
      <c r="A376" t="s">
        <v>128</v>
      </c>
      <c r="B376" t="s">
        <v>35</v>
      </c>
      <c r="C376" t="s">
        <v>36</v>
      </c>
    </row>
    <row r="377" spans="1:6" x14ac:dyDescent="0.25">
      <c r="A377" t="s">
        <v>128</v>
      </c>
      <c r="B377" t="s">
        <v>116</v>
      </c>
      <c r="C377" t="s">
        <v>117</v>
      </c>
    </row>
    <row r="378" spans="1:6" x14ac:dyDescent="0.25">
      <c r="A378" t="s">
        <v>128</v>
      </c>
      <c r="B378" t="s">
        <v>37</v>
      </c>
      <c r="C378" t="s">
        <v>38</v>
      </c>
    </row>
    <row r="379" spans="1:6" x14ac:dyDescent="0.25">
      <c r="A379" t="s">
        <v>128</v>
      </c>
      <c r="B379" t="s">
        <v>131</v>
      </c>
      <c r="C379" t="s">
        <v>132</v>
      </c>
    </row>
    <row r="380" spans="1:6" x14ac:dyDescent="0.25">
      <c r="A380" t="s">
        <v>128</v>
      </c>
      <c r="B380" t="s">
        <v>118</v>
      </c>
      <c r="C380" t="s">
        <v>119</v>
      </c>
    </row>
    <row r="381" spans="1:6" x14ac:dyDescent="0.25">
      <c r="A381" t="s">
        <v>128</v>
      </c>
      <c r="B381" t="s">
        <v>39</v>
      </c>
      <c r="C381" t="s">
        <v>53</v>
      </c>
    </row>
    <row r="382" spans="1:6" x14ac:dyDescent="0.25">
      <c r="A382" t="s">
        <v>128</v>
      </c>
      <c r="B382" t="s">
        <v>41</v>
      </c>
      <c r="C382" t="s">
        <v>56</v>
      </c>
    </row>
    <row r="383" spans="1:6" x14ac:dyDescent="0.25">
      <c r="A383" t="s">
        <v>16</v>
      </c>
    </row>
    <row r="384" spans="1:6" x14ac:dyDescent="0.25">
      <c r="A384" t="s">
        <v>17</v>
      </c>
      <c r="B384" t="s">
        <v>43</v>
      </c>
      <c r="C384" t="s">
        <v>44</v>
      </c>
      <c r="D384" t="s">
        <v>8</v>
      </c>
      <c r="E384" t="s">
        <v>45</v>
      </c>
      <c r="F384" t="s">
        <v>46</v>
      </c>
    </row>
    <row r="385" spans="1:6" x14ac:dyDescent="0.25">
      <c r="A385" t="s">
        <v>128</v>
      </c>
      <c r="B385" t="s">
        <v>133</v>
      </c>
      <c r="C385" t="s">
        <v>48</v>
      </c>
      <c r="D385" t="s">
        <v>49</v>
      </c>
      <c r="E385" t="str">
        <f>HYPERLINK("https://kvtnl.sharepoint.com/sites/BCDocumentRepository/Equipment/10026740_EdgeConnex-AMS05 GE-22-GENDA100 SET/100_SERV_REP_PDF/10026740_20260415_WO2601718_EdgeConnex-AMS05 GE-22-GENDA100 SET_122H_QOH_1832.pdf","PDF")</f>
        <v>PDF</v>
      </c>
      <c r="F385" t="str">
        <f>HYPERLINK("https://kvtnl.sharepoint.com/sites/BCDocumentRepository/Equipment/10026740_EdgeConnex-AMS05 GE-22-GENDA100 SET/101_SERV_REP_EXCEL/10026740_20260415_WO2601718_122H_QOH_1832.xlsm","Excel")</f>
        <v>Excel</v>
      </c>
    </row>
    <row r="386" spans="1:6" x14ac:dyDescent="0.25">
      <c r="A386" t="s">
        <v>128</v>
      </c>
      <c r="B386" t="s">
        <v>134</v>
      </c>
      <c r="C386" t="s">
        <v>73</v>
      </c>
      <c r="D386" t="s">
        <v>74</v>
      </c>
      <c r="E386" t="str">
        <f>HYPERLINK("https://kvtnl.sharepoint.com/sites/BCDocumentRepository/Equipment/10026740_EdgeConnex-AMS05 GE-22-GENDA100 SET/100_SERV_REP_PDF/10026740_20260611_WO2601715_EdgeConnex-AMS05 GE-22-GENDA100 SET_123H_GOH SA LB ST24_1358.pdf","PDF")</f>
        <v>PDF</v>
      </c>
      <c r="F386" t="str">
        <f>HYPERLINK("https://kvtnl.sharepoint.com/sites/BCDocumentRepository/Equipment/10026740_EdgeConnex-AMS05 GE-22-GENDA100 SET/101_SERV_REP_EXCEL/10026740_20260611_WO2601715_123H_GOH SA LB ST24_1358.xlsm","Excel")</f>
        <v>Excel</v>
      </c>
    </row>
    <row r="387" spans="1:6" x14ac:dyDescent="0.25">
      <c r="A387" t="s">
        <v>16</v>
      </c>
    </row>
    <row r="388" spans="1:6" x14ac:dyDescent="0.25">
      <c r="A388" t="s">
        <v>17</v>
      </c>
      <c r="B388" t="s">
        <v>18</v>
      </c>
      <c r="C388" t="s">
        <v>19</v>
      </c>
    </row>
    <row r="389" spans="1:6" x14ac:dyDescent="0.25">
      <c r="A389" t="s">
        <v>135</v>
      </c>
      <c r="B389" t="s">
        <v>21</v>
      </c>
      <c r="C389" t="s">
        <v>22</v>
      </c>
    </row>
    <row r="390" spans="1:6" x14ac:dyDescent="0.25">
      <c r="A390" t="s">
        <v>135</v>
      </c>
      <c r="B390" t="s">
        <v>23</v>
      </c>
      <c r="C390" t="s">
        <v>24</v>
      </c>
    </row>
    <row r="391" spans="1:6" x14ac:dyDescent="0.25">
      <c r="A391" t="s">
        <v>135</v>
      </c>
      <c r="B391" t="s">
        <v>25</v>
      </c>
      <c r="C391" t="s">
        <v>26</v>
      </c>
    </row>
    <row r="392" spans="1:6" x14ac:dyDescent="0.25">
      <c r="A392" t="s">
        <v>135</v>
      </c>
      <c r="B392" t="s">
        <v>27</v>
      </c>
      <c r="C392" t="s">
        <v>28</v>
      </c>
    </row>
    <row r="393" spans="1:6" x14ac:dyDescent="0.25">
      <c r="A393" t="s">
        <v>135</v>
      </c>
      <c r="B393" t="s">
        <v>29</v>
      </c>
      <c r="C393" t="s">
        <v>129</v>
      </c>
    </row>
    <row r="394" spans="1:6" x14ac:dyDescent="0.25">
      <c r="A394" t="s">
        <v>135</v>
      </c>
      <c r="B394" t="s">
        <v>31</v>
      </c>
      <c r="C394" t="s">
        <v>130</v>
      </c>
    </row>
    <row r="395" spans="1:6" x14ac:dyDescent="0.25">
      <c r="A395" t="s">
        <v>135</v>
      </c>
      <c r="B395" t="s">
        <v>35</v>
      </c>
      <c r="C395" t="s">
        <v>36</v>
      </c>
    </row>
    <row r="396" spans="1:6" x14ac:dyDescent="0.25">
      <c r="A396" t="s">
        <v>135</v>
      </c>
      <c r="B396" t="s">
        <v>116</v>
      </c>
      <c r="C396" t="s">
        <v>117</v>
      </c>
    </row>
    <row r="397" spans="1:6" x14ac:dyDescent="0.25">
      <c r="A397" t="s">
        <v>135</v>
      </c>
      <c r="B397" t="s">
        <v>37</v>
      </c>
      <c r="C397" t="s">
        <v>38</v>
      </c>
    </row>
    <row r="398" spans="1:6" x14ac:dyDescent="0.25">
      <c r="A398" t="s">
        <v>135</v>
      </c>
      <c r="B398" t="s">
        <v>131</v>
      </c>
      <c r="C398" t="s">
        <v>132</v>
      </c>
    </row>
    <row r="399" spans="1:6" x14ac:dyDescent="0.25">
      <c r="A399" t="s">
        <v>135</v>
      </c>
      <c r="B399" t="s">
        <v>136</v>
      </c>
      <c r="C399" t="s">
        <v>16</v>
      </c>
    </row>
    <row r="400" spans="1:6" x14ac:dyDescent="0.25">
      <c r="A400" t="s">
        <v>135</v>
      </c>
      <c r="B400" t="s">
        <v>118</v>
      </c>
      <c r="C400" t="s">
        <v>119</v>
      </c>
    </row>
    <row r="401" spans="1:6" x14ac:dyDescent="0.25">
      <c r="A401" t="s">
        <v>135</v>
      </c>
      <c r="B401" t="s">
        <v>39</v>
      </c>
      <c r="C401" t="s">
        <v>53</v>
      </c>
    </row>
    <row r="402" spans="1:6" x14ac:dyDescent="0.25">
      <c r="A402" t="s">
        <v>135</v>
      </c>
      <c r="B402" t="s">
        <v>41</v>
      </c>
      <c r="C402" t="s">
        <v>56</v>
      </c>
    </row>
    <row r="403" spans="1:6" x14ac:dyDescent="0.25">
      <c r="A403" t="s">
        <v>16</v>
      </c>
    </row>
    <row r="404" spans="1:6" x14ac:dyDescent="0.25">
      <c r="A404" t="s">
        <v>17</v>
      </c>
      <c r="B404" t="s">
        <v>43</v>
      </c>
      <c r="C404" t="s">
        <v>44</v>
      </c>
      <c r="D404" t="s">
        <v>8</v>
      </c>
      <c r="E404" t="s">
        <v>45</v>
      </c>
      <c r="F404" t="s">
        <v>46</v>
      </c>
    </row>
    <row r="405" spans="1:6" x14ac:dyDescent="0.25">
      <c r="A405" t="s">
        <v>135</v>
      </c>
      <c r="B405" t="s">
        <v>137</v>
      </c>
      <c r="C405" t="s">
        <v>48</v>
      </c>
      <c r="D405" t="s">
        <v>49</v>
      </c>
      <c r="E405" t="str">
        <f>HYPERLINK("https://kvtnl.sharepoint.com/sites/BCDocumentRepository/Equipment/10026741_EdgeConnex-AMS05 GE-23-GENDB100 SET/100_SERV_REP_PDF/10026741_20260415_WO2601729_EdgeConnex-AMS05 GE-23-GENDB100 SET_119H_QOH_1832.pdf","PDF")</f>
        <v>PDF</v>
      </c>
      <c r="F405" t="str">
        <f>HYPERLINK("https://kvtnl.sharepoint.com/sites/BCDocumentRepository/Equipment/10026741_EdgeConnex-AMS05 GE-23-GENDB100 SET/101_SERV_REP_EXCEL/10026741_20260415_WO2601729_119H_QOH_1832.xlsm","Excel")</f>
        <v>Excel</v>
      </c>
    </row>
    <row r="406" spans="1:6" x14ac:dyDescent="0.25">
      <c r="A406" t="s">
        <v>135</v>
      </c>
      <c r="B406" t="s">
        <v>138</v>
      </c>
      <c r="C406" t="s">
        <v>73</v>
      </c>
      <c r="D406" t="s">
        <v>74</v>
      </c>
      <c r="E406" t="str">
        <f>HYPERLINK("https://kvtnl.sharepoint.com/sites/BCDocumentRepository/Equipment/10026741_EdgeConnex-AMS05 GE-23-GENDB100 SET/100_SERV_REP_PDF/10026741_20260612_WO2601726_EdgeConnex-AMS05 GE-23-GENDB100 SET_120H_GOH SA LB ST24_1358.pdf","PDF")</f>
        <v>PDF</v>
      </c>
      <c r="F406" t="str">
        <f>HYPERLINK("https://kvtnl.sharepoint.com/sites/BCDocumentRepository/Equipment/10026741_EdgeConnex-AMS05 GE-23-GENDB100 SET/101_SERV_REP_EXCEL/10026741_20260612_WO2601726_120H_GOH SA LB ST24_1358.xlsm","Excel")</f>
        <v>Excel</v>
      </c>
    </row>
    <row r="407" spans="1:6" x14ac:dyDescent="0.25">
      <c r="A407" t="s">
        <v>16</v>
      </c>
    </row>
    <row r="408" spans="1:6" x14ac:dyDescent="0.25">
      <c r="A408" t="s">
        <v>17</v>
      </c>
      <c r="B408" t="s">
        <v>18</v>
      </c>
      <c r="C408" t="s">
        <v>19</v>
      </c>
    </row>
    <row r="409" spans="1:6" x14ac:dyDescent="0.25">
      <c r="A409" t="s">
        <v>139</v>
      </c>
      <c r="B409" t="s">
        <v>21</v>
      </c>
      <c r="C409" t="s">
        <v>22</v>
      </c>
    </row>
    <row r="410" spans="1:6" x14ac:dyDescent="0.25">
      <c r="A410" t="s">
        <v>139</v>
      </c>
      <c r="B410" t="s">
        <v>23</v>
      </c>
      <c r="C410" t="s">
        <v>24</v>
      </c>
    </row>
    <row r="411" spans="1:6" x14ac:dyDescent="0.25">
      <c r="A411" t="s">
        <v>139</v>
      </c>
      <c r="B411" t="s">
        <v>25</v>
      </c>
      <c r="C411" t="s">
        <v>26</v>
      </c>
    </row>
    <row r="412" spans="1:6" x14ac:dyDescent="0.25">
      <c r="A412" t="s">
        <v>139</v>
      </c>
      <c r="B412" t="s">
        <v>27</v>
      </c>
      <c r="C412" t="s">
        <v>28</v>
      </c>
    </row>
    <row r="413" spans="1:6" x14ac:dyDescent="0.25">
      <c r="A413" t="s">
        <v>139</v>
      </c>
      <c r="B413" t="s">
        <v>29</v>
      </c>
      <c r="C413" t="s">
        <v>129</v>
      </c>
    </row>
    <row r="414" spans="1:6" x14ac:dyDescent="0.25">
      <c r="A414" t="s">
        <v>139</v>
      </c>
      <c r="B414" t="s">
        <v>31</v>
      </c>
      <c r="C414" t="s">
        <v>130</v>
      </c>
    </row>
    <row r="415" spans="1:6" x14ac:dyDescent="0.25">
      <c r="A415" t="s">
        <v>139</v>
      </c>
      <c r="B415" t="s">
        <v>35</v>
      </c>
      <c r="C415" t="s">
        <v>36</v>
      </c>
    </row>
    <row r="416" spans="1:6" x14ac:dyDescent="0.25">
      <c r="A416" t="s">
        <v>139</v>
      </c>
      <c r="B416" t="s">
        <v>116</v>
      </c>
      <c r="C416" t="s">
        <v>117</v>
      </c>
    </row>
    <row r="417" spans="1:6" x14ac:dyDescent="0.25">
      <c r="A417" t="s">
        <v>139</v>
      </c>
      <c r="B417" t="s">
        <v>37</v>
      </c>
      <c r="C417" t="s">
        <v>38</v>
      </c>
    </row>
    <row r="418" spans="1:6" x14ac:dyDescent="0.25">
      <c r="A418" t="s">
        <v>139</v>
      </c>
      <c r="B418" t="s">
        <v>131</v>
      </c>
      <c r="C418" t="s">
        <v>132</v>
      </c>
    </row>
    <row r="419" spans="1:6" x14ac:dyDescent="0.25">
      <c r="A419" t="s">
        <v>139</v>
      </c>
      <c r="B419" t="s">
        <v>136</v>
      </c>
      <c r="C419" t="s">
        <v>16</v>
      </c>
    </row>
    <row r="420" spans="1:6" x14ac:dyDescent="0.25">
      <c r="A420" t="s">
        <v>139</v>
      </c>
      <c r="B420" t="s">
        <v>118</v>
      </c>
      <c r="C420" t="s">
        <v>119</v>
      </c>
    </row>
    <row r="421" spans="1:6" x14ac:dyDescent="0.25">
      <c r="A421" t="s">
        <v>139</v>
      </c>
      <c r="B421" t="s">
        <v>39</v>
      </c>
      <c r="C421" t="s">
        <v>53</v>
      </c>
    </row>
    <row r="422" spans="1:6" x14ac:dyDescent="0.25">
      <c r="A422" t="s">
        <v>139</v>
      </c>
      <c r="B422" t="s">
        <v>41</v>
      </c>
      <c r="C422" t="s">
        <v>56</v>
      </c>
    </row>
    <row r="423" spans="1:6" x14ac:dyDescent="0.25">
      <c r="A423" t="s">
        <v>16</v>
      </c>
    </row>
    <row r="424" spans="1:6" x14ac:dyDescent="0.25">
      <c r="A424" t="s">
        <v>17</v>
      </c>
      <c r="B424" t="s">
        <v>43</v>
      </c>
      <c r="C424" t="s">
        <v>44</v>
      </c>
      <c r="D424" t="s">
        <v>8</v>
      </c>
      <c r="E424" t="s">
        <v>45</v>
      </c>
      <c r="F424" t="s">
        <v>46</v>
      </c>
    </row>
    <row r="425" spans="1:6" x14ac:dyDescent="0.25">
      <c r="A425" t="s">
        <v>139</v>
      </c>
      <c r="B425" t="s">
        <v>140</v>
      </c>
      <c r="C425" t="s">
        <v>48</v>
      </c>
      <c r="D425" t="s">
        <v>49</v>
      </c>
      <c r="E425" t="str">
        <f>HYPERLINK("https://kvtnl.sharepoint.com/sites/BCDocumentRepository/Equipment/10026742_EdgeConnex-AMS05 GE-24-GENDC100 SET/100_SERV_REP_PDF/10026742_20260415_WO2601740_EdgeConnex-AMS05 GE-24-GENDC100 SET_130H_QOH_1832.pdf","PDF")</f>
        <v>PDF</v>
      </c>
      <c r="F425" t="str">
        <f>HYPERLINK("https://kvtnl.sharepoint.com/sites/BCDocumentRepository/Equipment/10026742_EdgeConnex-AMS05 GE-24-GENDC100 SET/101_SERV_REP_EXCEL/10026742_20260415_WO2601740_130H_QOH_1832.xlsm","Excel")</f>
        <v>Excel</v>
      </c>
    </row>
    <row r="426" spans="1:6" x14ac:dyDescent="0.25">
      <c r="A426" t="s">
        <v>139</v>
      </c>
      <c r="B426" t="s">
        <v>141</v>
      </c>
      <c r="C426" t="s">
        <v>73</v>
      </c>
      <c r="D426" t="s">
        <v>74</v>
      </c>
      <c r="E426" t="str">
        <f>HYPERLINK("https://kvtnl.sharepoint.com/sites/BCDocumentRepository/Equipment/10026742_EdgeConnex-AMS05 GE-24-GENDC100 SET/100_SERV_REP_PDF/10026742_20260615_WO2601737_EdgeConnex-AMS05 GE-24-GENDC100 SET_132H_GOH SA LB ST24_1832.pdf","PDF")</f>
        <v>PDF</v>
      </c>
      <c r="F426" t="str">
        <f>HYPERLINK("https://kvtnl.sharepoint.com/sites/BCDocumentRepository/Equipment/10026742_EdgeConnex-AMS05 GE-24-GENDC100 SET/101_SERV_REP_EXCEL/10026742_20260615_WO2601737_132H_GOH SA LB ST24_1832.xlsm","Excel")</f>
        <v>Excel</v>
      </c>
    </row>
    <row r="427" spans="1:6" x14ac:dyDescent="0.25">
      <c r="A427" t="s">
        <v>16</v>
      </c>
    </row>
    <row r="428" spans="1:6" x14ac:dyDescent="0.25">
      <c r="A428" t="s">
        <v>17</v>
      </c>
      <c r="B428" t="s">
        <v>18</v>
      </c>
      <c r="C428" t="s">
        <v>19</v>
      </c>
    </row>
    <row r="429" spans="1:6" x14ac:dyDescent="0.25">
      <c r="A429" t="s">
        <v>142</v>
      </c>
      <c r="B429" t="s">
        <v>21</v>
      </c>
      <c r="C429" t="s">
        <v>22</v>
      </c>
    </row>
    <row r="430" spans="1:6" x14ac:dyDescent="0.25">
      <c r="A430" t="s">
        <v>142</v>
      </c>
      <c r="B430" t="s">
        <v>23</v>
      </c>
      <c r="C430" t="s">
        <v>24</v>
      </c>
    </row>
    <row r="431" spans="1:6" x14ac:dyDescent="0.25">
      <c r="A431" t="s">
        <v>142</v>
      </c>
      <c r="B431" t="s">
        <v>25</v>
      </c>
      <c r="C431" t="s">
        <v>26</v>
      </c>
    </row>
    <row r="432" spans="1:6" x14ac:dyDescent="0.25">
      <c r="A432" t="s">
        <v>142</v>
      </c>
      <c r="B432" t="s">
        <v>27</v>
      </c>
      <c r="C432" t="s">
        <v>28</v>
      </c>
    </row>
    <row r="433" spans="1:6" x14ac:dyDescent="0.25">
      <c r="A433" t="s">
        <v>142</v>
      </c>
      <c r="B433" t="s">
        <v>29</v>
      </c>
      <c r="C433" t="s">
        <v>129</v>
      </c>
    </row>
    <row r="434" spans="1:6" x14ac:dyDescent="0.25">
      <c r="A434" t="s">
        <v>142</v>
      </c>
      <c r="B434" t="s">
        <v>31</v>
      </c>
      <c r="C434" t="s">
        <v>130</v>
      </c>
    </row>
    <row r="435" spans="1:6" x14ac:dyDescent="0.25">
      <c r="A435" t="s">
        <v>142</v>
      </c>
      <c r="B435" t="s">
        <v>33</v>
      </c>
      <c r="C435" t="s">
        <v>143</v>
      </c>
    </row>
    <row r="436" spans="1:6" x14ac:dyDescent="0.25">
      <c r="A436" t="s">
        <v>142</v>
      </c>
      <c r="B436" t="s">
        <v>35</v>
      </c>
      <c r="C436" t="s">
        <v>36</v>
      </c>
    </row>
    <row r="437" spans="1:6" x14ac:dyDescent="0.25">
      <c r="A437" t="s">
        <v>142</v>
      </c>
      <c r="B437" t="s">
        <v>116</v>
      </c>
      <c r="C437" t="s">
        <v>117</v>
      </c>
    </row>
    <row r="438" spans="1:6" x14ac:dyDescent="0.25">
      <c r="A438" t="s">
        <v>142</v>
      </c>
      <c r="B438" t="s">
        <v>37</v>
      </c>
      <c r="C438" t="s">
        <v>38</v>
      </c>
    </row>
    <row r="439" spans="1:6" x14ac:dyDescent="0.25">
      <c r="A439" t="s">
        <v>142</v>
      </c>
      <c r="B439" t="s">
        <v>131</v>
      </c>
      <c r="C439" t="s">
        <v>132</v>
      </c>
    </row>
    <row r="440" spans="1:6" x14ac:dyDescent="0.25">
      <c r="A440" t="s">
        <v>142</v>
      </c>
      <c r="B440" t="s">
        <v>136</v>
      </c>
      <c r="C440" t="s">
        <v>16</v>
      </c>
    </row>
    <row r="441" spans="1:6" x14ac:dyDescent="0.25">
      <c r="A441" t="s">
        <v>142</v>
      </c>
      <c r="B441" t="s">
        <v>118</v>
      </c>
      <c r="C441" t="s">
        <v>119</v>
      </c>
    </row>
    <row r="442" spans="1:6" x14ac:dyDescent="0.25">
      <c r="A442" t="s">
        <v>142</v>
      </c>
      <c r="B442" t="s">
        <v>39</v>
      </c>
      <c r="C442" t="s">
        <v>53</v>
      </c>
    </row>
    <row r="443" spans="1:6" x14ac:dyDescent="0.25">
      <c r="A443" t="s">
        <v>142</v>
      </c>
      <c r="B443" t="s">
        <v>41</v>
      </c>
      <c r="C443" t="s">
        <v>56</v>
      </c>
    </row>
    <row r="444" spans="1:6" x14ac:dyDescent="0.25">
      <c r="A444" t="s">
        <v>16</v>
      </c>
    </row>
    <row r="445" spans="1:6" x14ac:dyDescent="0.25">
      <c r="A445" t="s">
        <v>17</v>
      </c>
      <c r="B445" t="s">
        <v>43</v>
      </c>
      <c r="C445" t="s">
        <v>44</v>
      </c>
      <c r="D445" t="s">
        <v>8</v>
      </c>
      <c r="E445" t="s">
        <v>45</v>
      </c>
      <c r="F445" t="s">
        <v>46</v>
      </c>
    </row>
    <row r="446" spans="1:6" x14ac:dyDescent="0.25">
      <c r="A446" t="s">
        <v>142</v>
      </c>
      <c r="B446" t="s">
        <v>144</v>
      </c>
      <c r="C446" t="s">
        <v>48</v>
      </c>
      <c r="D446" t="s">
        <v>49</v>
      </c>
      <c r="E446" t="str">
        <f>HYPERLINK("https://kvtnl.sharepoint.com/sites/BCDocumentRepository/Equipment/10026743_EdgeConnex-AMS05 GE-25-GENDD100 SET/100_SERV_REP_PDF/10026743_20260415_WO2601751_EdgeConnex-AMS05 GE-25-GENDD100 SET_132H_QOH_1832.pdf","PDF")</f>
        <v>PDF</v>
      </c>
      <c r="F446" t="str">
        <f>HYPERLINK("https://kvtnl.sharepoint.com/sites/BCDocumentRepository/Equipment/10026743_EdgeConnex-AMS05 GE-25-GENDD100 SET/101_SERV_REP_EXCEL/10026743_20260415_WO2601751_132H_QOH_1832.xlsm","Excel")</f>
        <v>Excel</v>
      </c>
    </row>
    <row r="447" spans="1:6" x14ac:dyDescent="0.25">
      <c r="A447" t="s">
        <v>16</v>
      </c>
    </row>
    <row r="448" spans="1:6" x14ac:dyDescent="0.25">
      <c r="A448" t="s">
        <v>17</v>
      </c>
      <c r="B448" t="s">
        <v>18</v>
      </c>
      <c r="C448" t="s">
        <v>19</v>
      </c>
    </row>
    <row r="449" spans="1:6" x14ac:dyDescent="0.25">
      <c r="A449" t="s">
        <v>145</v>
      </c>
      <c r="B449" t="s">
        <v>21</v>
      </c>
      <c r="C449" t="s">
        <v>22</v>
      </c>
    </row>
    <row r="450" spans="1:6" x14ac:dyDescent="0.25">
      <c r="A450" t="s">
        <v>145</v>
      </c>
      <c r="B450" t="s">
        <v>23</v>
      </c>
      <c r="C450" t="s">
        <v>24</v>
      </c>
    </row>
    <row r="451" spans="1:6" x14ac:dyDescent="0.25">
      <c r="A451" t="s">
        <v>145</v>
      </c>
      <c r="B451" t="s">
        <v>27</v>
      </c>
      <c r="C451" t="s">
        <v>28</v>
      </c>
    </row>
    <row r="452" spans="1:6" x14ac:dyDescent="0.25">
      <c r="A452" t="s">
        <v>145</v>
      </c>
      <c r="B452" t="s">
        <v>29</v>
      </c>
      <c r="C452" t="s">
        <v>129</v>
      </c>
    </row>
    <row r="453" spans="1:6" x14ac:dyDescent="0.25">
      <c r="A453" t="s">
        <v>145</v>
      </c>
      <c r="B453" t="s">
        <v>35</v>
      </c>
      <c r="C453" t="s">
        <v>36</v>
      </c>
    </row>
    <row r="454" spans="1:6" x14ac:dyDescent="0.25">
      <c r="A454" t="s">
        <v>145</v>
      </c>
      <c r="B454" t="s">
        <v>116</v>
      </c>
      <c r="C454" t="s">
        <v>117</v>
      </c>
    </row>
    <row r="455" spans="1:6" x14ac:dyDescent="0.25">
      <c r="A455" t="s">
        <v>145</v>
      </c>
      <c r="B455" t="s">
        <v>37</v>
      </c>
      <c r="C455" t="s">
        <v>38</v>
      </c>
    </row>
    <row r="456" spans="1:6" x14ac:dyDescent="0.25">
      <c r="A456" t="s">
        <v>145</v>
      </c>
      <c r="B456" t="s">
        <v>131</v>
      </c>
      <c r="C456" t="s">
        <v>146</v>
      </c>
    </row>
    <row r="457" spans="1:6" x14ac:dyDescent="0.25">
      <c r="A457" t="s">
        <v>145</v>
      </c>
      <c r="B457" t="s">
        <v>136</v>
      </c>
      <c r="C457" t="s">
        <v>16</v>
      </c>
    </row>
    <row r="458" spans="1:6" x14ac:dyDescent="0.25">
      <c r="A458" t="s">
        <v>145</v>
      </c>
      <c r="B458" t="s">
        <v>118</v>
      </c>
      <c r="C458" t="s">
        <v>119</v>
      </c>
    </row>
    <row r="459" spans="1:6" x14ac:dyDescent="0.25">
      <c r="A459" t="s">
        <v>145</v>
      </c>
      <c r="B459" t="s">
        <v>39</v>
      </c>
      <c r="C459" t="s">
        <v>53</v>
      </c>
    </row>
    <row r="460" spans="1:6" x14ac:dyDescent="0.25">
      <c r="A460" t="s">
        <v>145</v>
      </c>
      <c r="B460" t="s">
        <v>41</v>
      </c>
      <c r="C460" t="s">
        <v>56</v>
      </c>
    </row>
    <row r="461" spans="1:6" x14ac:dyDescent="0.25">
      <c r="A461" t="s">
        <v>16</v>
      </c>
    </row>
    <row r="462" spans="1:6" x14ac:dyDescent="0.25">
      <c r="A462" t="s">
        <v>17</v>
      </c>
      <c r="B462" t="s">
        <v>43</v>
      </c>
      <c r="C462" t="s">
        <v>44</v>
      </c>
      <c r="D462" t="s">
        <v>8</v>
      </c>
      <c r="E462" t="s">
        <v>45</v>
      </c>
      <c r="F462" t="s">
        <v>46</v>
      </c>
    </row>
    <row r="463" spans="1:6" x14ac:dyDescent="0.25">
      <c r="A463" t="s">
        <v>145</v>
      </c>
      <c r="B463" t="s">
        <v>147</v>
      </c>
      <c r="C463" t="s">
        <v>48</v>
      </c>
      <c r="D463" t="s">
        <v>49</v>
      </c>
      <c r="E463" t="str">
        <f>HYPERLINK("https://kvtnl.sharepoint.com/sites/BCDocumentRepository/Equipment/10026744_EdgeConnex-AMS05 GE-26-GENDE100 SET/100_SERV_REP_PDF/10026744_20260415_WO2601762_EdgeConnex-AMS05 GE-26-GENDE100 SET_118H_QOH_1832.pdf","PDF")</f>
        <v>PDF</v>
      </c>
      <c r="F463" t="str">
        <f>HYPERLINK("https://kvtnl.sharepoint.com/sites/BCDocumentRepository/Equipment/10026744_EdgeConnex-AMS05 GE-26-GENDE100 SET/101_SERV_REP_EXCEL/10026744_20260415_WO2601762_118H_QOH_1832.xlsm","Excel")</f>
        <v>Excel</v>
      </c>
    </row>
    <row r="464" spans="1:6" x14ac:dyDescent="0.25">
      <c r="A464" t="s">
        <v>16</v>
      </c>
    </row>
    <row r="465" spans="1:6" x14ac:dyDescent="0.25">
      <c r="A465" t="s">
        <v>17</v>
      </c>
      <c r="B465" t="s">
        <v>18</v>
      </c>
      <c r="C465" t="s">
        <v>19</v>
      </c>
    </row>
    <row r="466" spans="1:6" x14ac:dyDescent="0.25">
      <c r="A466" t="s">
        <v>148</v>
      </c>
      <c r="B466" t="s">
        <v>23</v>
      </c>
      <c r="C466" t="s">
        <v>24</v>
      </c>
    </row>
    <row r="467" spans="1:6" x14ac:dyDescent="0.25">
      <c r="A467" t="s">
        <v>148</v>
      </c>
      <c r="B467" t="s">
        <v>25</v>
      </c>
      <c r="C467" t="s">
        <v>26</v>
      </c>
    </row>
    <row r="468" spans="1:6" x14ac:dyDescent="0.25">
      <c r="A468" t="s">
        <v>148</v>
      </c>
      <c r="B468" t="s">
        <v>27</v>
      </c>
      <c r="C468" t="s">
        <v>28</v>
      </c>
    </row>
    <row r="469" spans="1:6" x14ac:dyDescent="0.25">
      <c r="A469" t="s">
        <v>148</v>
      </c>
      <c r="B469" t="s">
        <v>29</v>
      </c>
      <c r="C469" t="s">
        <v>129</v>
      </c>
    </row>
    <row r="470" spans="1:6" x14ac:dyDescent="0.25">
      <c r="A470" t="s">
        <v>148</v>
      </c>
      <c r="B470" t="s">
        <v>31</v>
      </c>
      <c r="C470" t="s">
        <v>130</v>
      </c>
    </row>
    <row r="471" spans="1:6" x14ac:dyDescent="0.25">
      <c r="A471" t="s">
        <v>148</v>
      </c>
      <c r="B471" t="s">
        <v>35</v>
      </c>
      <c r="C471" t="s">
        <v>36</v>
      </c>
    </row>
    <row r="472" spans="1:6" x14ac:dyDescent="0.25">
      <c r="A472" t="s">
        <v>148</v>
      </c>
      <c r="B472" t="s">
        <v>116</v>
      </c>
      <c r="C472" t="s">
        <v>117</v>
      </c>
    </row>
    <row r="473" spans="1:6" x14ac:dyDescent="0.25">
      <c r="A473" t="s">
        <v>148</v>
      </c>
      <c r="B473" t="s">
        <v>37</v>
      </c>
      <c r="C473" t="s">
        <v>38</v>
      </c>
    </row>
    <row r="474" spans="1:6" x14ac:dyDescent="0.25">
      <c r="A474" t="s">
        <v>148</v>
      </c>
      <c r="B474" t="s">
        <v>131</v>
      </c>
      <c r="C474" t="s">
        <v>146</v>
      </c>
    </row>
    <row r="475" spans="1:6" x14ac:dyDescent="0.25">
      <c r="A475" t="s">
        <v>148</v>
      </c>
      <c r="B475" t="s">
        <v>136</v>
      </c>
      <c r="C475" t="s">
        <v>16</v>
      </c>
    </row>
    <row r="476" spans="1:6" x14ac:dyDescent="0.25">
      <c r="A476" t="s">
        <v>148</v>
      </c>
      <c r="B476" t="s">
        <v>118</v>
      </c>
      <c r="C476" t="s">
        <v>119</v>
      </c>
    </row>
    <row r="477" spans="1:6" x14ac:dyDescent="0.25">
      <c r="A477" t="s">
        <v>148</v>
      </c>
      <c r="B477" t="s">
        <v>39</v>
      </c>
      <c r="C477" t="s">
        <v>53</v>
      </c>
    </row>
    <row r="478" spans="1:6" x14ac:dyDescent="0.25">
      <c r="A478" t="s">
        <v>148</v>
      </c>
      <c r="B478" t="s">
        <v>41</v>
      </c>
      <c r="C478" t="s">
        <v>56</v>
      </c>
    </row>
    <row r="479" spans="1:6" x14ac:dyDescent="0.25">
      <c r="A479" t="s">
        <v>16</v>
      </c>
    </row>
    <row r="480" spans="1:6" x14ac:dyDescent="0.25">
      <c r="A480" t="s">
        <v>17</v>
      </c>
      <c r="B480" t="s">
        <v>43</v>
      </c>
      <c r="C480" t="s">
        <v>44</v>
      </c>
      <c r="D480" t="s">
        <v>8</v>
      </c>
      <c r="E480" t="s">
        <v>45</v>
      </c>
      <c r="F480" t="s">
        <v>46</v>
      </c>
    </row>
    <row r="481" spans="1:6" x14ac:dyDescent="0.25">
      <c r="A481" t="s">
        <v>148</v>
      </c>
      <c r="B481" t="s">
        <v>149</v>
      </c>
      <c r="C481" t="s">
        <v>48</v>
      </c>
      <c r="D481" t="s">
        <v>49</v>
      </c>
      <c r="E481" t="str">
        <f>HYPERLINK("https://kvtnl.sharepoint.com/sites/BCDocumentRepository/Equipment/10026745_EdgeConnex-AMS05 GE-27-GENDF100 SET/100_SERV_REP_PDF/10026745_20260415_WO2601773_EdgeConnex-AMS05 GE-27-GENDF100 SET_125H_QOH_1588.pdf","PDF")</f>
        <v>PDF</v>
      </c>
      <c r="F481" t="str">
        <f>HYPERLINK("https://kvtnl.sharepoint.com/sites/BCDocumentRepository/Equipment/10026745_EdgeConnex-AMS05 GE-27-GENDF100 SET/101_SERV_REP_EXCEL/10026745_20260415_WO2601773_125H_QOH_1588.xlsm","Excel")</f>
        <v>Excel</v>
      </c>
    </row>
    <row r="482" spans="1:6" x14ac:dyDescent="0.25">
      <c r="A482" t="s">
        <v>16</v>
      </c>
    </row>
    <row r="483" spans="1:6" x14ac:dyDescent="0.25">
      <c r="A483" t="s">
        <v>17</v>
      </c>
      <c r="B483" t="s">
        <v>18</v>
      </c>
      <c r="C483" t="s">
        <v>19</v>
      </c>
    </row>
    <row r="484" spans="1:6" x14ac:dyDescent="0.25">
      <c r="A484" t="s">
        <v>150</v>
      </c>
      <c r="B484" t="s">
        <v>21</v>
      </c>
      <c r="C484" t="s">
        <v>22</v>
      </c>
    </row>
    <row r="485" spans="1:6" x14ac:dyDescent="0.25">
      <c r="A485" t="s">
        <v>150</v>
      </c>
      <c r="B485" t="s">
        <v>23</v>
      </c>
      <c r="C485" t="s">
        <v>24</v>
      </c>
    </row>
    <row r="486" spans="1:6" x14ac:dyDescent="0.25">
      <c r="A486" t="s">
        <v>150</v>
      </c>
      <c r="B486" t="s">
        <v>25</v>
      </c>
      <c r="C486" t="s">
        <v>26</v>
      </c>
    </row>
    <row r="487" spans="1:6" x14ac:dyDescent="0.25">
      <c r="A487" t="s">
        <v>150</v>
      </c>
      <c r="B487" t="s">
        <v>27</v>
      </c>
      <c r="C487" t="s">
        <v>28</v>
      </c>
    </row>
    <row r="488" spans="1:6" x14ac:dyDescent="0.25">
      <c r="A488" t="s">
        <v>150</v>
      </c>
      <c r="B488" t="s">
        <v>29</v>
      </c>
      <c r="C488" t="s">
        <v>129</v>
      </c>
    </row>
    <row r="489" spans="1:6" x14ac:dyDescent="0.25">
      <c r="A489" t="s">
        <v>150</v>
      </c>
      <c r="B489" t="s">
        <v>31</v>
      </c>
      <c r="C489" t="s">
        <v>151</v>
      </c>
    </row>
    <row r="490" spans="1:6" x14ac:dyDescent="0.25">
      <c r="A490" t="s">
        <v>150</v>
      </c>
      <c r="B490" t="s">
        <v>35</v>
      </c>
      <c r="C490" t="s">
        <v>36</v>
      </c>
    </row>
    <row r="491" spans="1:6" x14ac:dyDescent="0.25">
      <c r="A491" t="s">
        <v>150</v>
      </c>
      <c r="B491" t="s">
        <v>116</v>
      </c>
      <c r="C491" t="s">
        <v>117</v>
      </c>
    </row>
    <row r="492" spans="1:6" x14ac:dyDescent="0.25">
      <c r="A492" t="s">
        <v>150</v>
      </c>
      <c r="B492" t="s">
        <v>37</v>
      </c>
      <c r="C492" t="s">
        <v>38</v>
      </c>
    </row>
    <row r="493" spans="1:6" x14ac:dyDescent="0.25">
      <c r="A493" t="s">
        <v>150</v>
      </c>
      <c r="B493" t="s">
        <v>131</v>
      </c>
      <c r="C493" t="s">
        <v>146</v>
      </c>
    </row>
    <row r="494" spans="1:6" x14ac:dyDescent="0.25">
      <c r="A494" t="s">
        <v>150</v>
      </c>
      <c r="B494" t="s">
        <v>136</v>
      </c>
      <c r="C494" t="s">
        <v>16</v>
      </c>
    </row>
    <row r="495" spans="1:6" x14ac:dyDescent="0.25">
      <c r="A495" t="s">
        <v>150</v>
      </c>
      <c r="B495" t="s">
        <v>39</v>
      </c>
      <c r="C495" t="s">
        <v>53</v>
      </c>
    </row>
    <row r="496" spans="1:6" x14ac:dyDescent="0.25">
      <c r="A496" t="s">
        <v>150</v>
      </c>
      <c r="B496" t="s">
        <v>41</v>
      </c>
      <c r="C496" t="s">
        <v>56</v>
      </c>
    </row>
    <row r="497" spans="1:6" x14ac:dyDescent="0.25">
      <c r="A497" t="s">
        <v>16</v>
      </c>
    </row>
    <row r="498" spans="1:6" x14ac:dyDescent="0.25">
      <c r="A498" t="s">
        <v>17</v>
      </c>
      <c r="B498" t="s">
        <v>43</v>
      </c>
      <c r="C498" t="s">
        <v>44</v>
      </c>
      <c r="D498" t="s">
        <v>8</v>
      </c>
      <c r="E498" t="s">
        <v>45</v>
      </c>
      <c r="F498" t="s">
        <v>46</v>
      </c>
    </row>
    <row r="499" spans="1:6" x14ac:dyDescent="0.25">
      <c r="A499" t="s">
        <v>150</v>
      </c>
      <c r="B499" t="s">
        <v>152</v>
      </c>
      <c r="C499" t="s">
        <v>48</v>
      </c>
      <c r="D499" t="s">
        <v>49</v>
      </c>
      <c r="E499" t="str">
        <f>HYPERLINK("https://kvtnl.sharepoint.com/sites/BCDocumentRepository/Equipment/10026746_EdgeConnex-AMS05 GE-28-GENDG100 SET/100_SERV_REP_PDF/10026746_20260415_WO2601784_EdgeConnex-AMS05 GE-28-GENDG100 SET_118H_QOH_1588.pdf","PDF")</f>
        <v>PDF</v>
      </c>
      <c r="F499" t="str">
        <f>HYPERLINK("https://kvtnl.sharepoint.com/sites/BCDocumentRepository/Equipment/10026746_EdgeConnex-AMS05 GE-28-GENDG100 SET/101_SERV_REP_EXCEL/10026746_20260415_WO2601784_118H_QOH_1588.xlsm","Excel")</f>
        <v>Excel</v>
      </c>
    </row>
    <row r="500" spans="1:6" x14ac:dyDescent="0.25">
      <c r="A500" t="s">
        <v>16</v>
      </c>
    </row>
    <row r="501" spans="1:6" x14ac:dyDescent="0.25">
      <c r="A501" t="s">
        <v>17</v>
      </c>
      <c r="B501" t="s">
        <v>18</v>
      </c>
      <c r="C501" t="s">
        <v>19</v>
      </c>
    </row>
    <row r="502" spans="1:6" x14ac:dyDescent="0.25">
      <c r="A502" t="s">
        <v>153</v>
      </c>
      <c r="B502" t="s">
        <v>21</v>
      </c>
      <c r="C502" t="s">
        <v>22</v>
      </c>
    </row>
    <row r="503" spans="1:6" x14ac:dyDescent="0.25">
      <c r="A503" t="s">
        <v>153</v>
      </c>
      <c r="B503" t="s">
        <v>23</v>
      </c>
      <c r="C503" t="s">
        <v>24</v>
      </c>
    </row>
    <row r="504" spans="1:6" x14ac:dyDescent="0.25">
      <c r="A504" t="s">
        <v>153</v>
      </c>
      <c r="B504" t="s">
        <v>25</v>
      </c>
      <c r="C504" t="s">
        <v>26</v>
      </c>
    </row>
    <row r="505" spans="1:6" x14ac:dyDescent="0.25">
      <c r="A505" t="s">
        <v>153</v>
      </c>
      <c r="B505" t="s">
        <v>27</v>
      </c>
      <c r="C505" t="s">
        <v>28</v>
      </c>
    </row>
    <row r="506" spans="1:6" x14ac:dyDescent="0.25">
      <c r="A506" t="s">
        <v>153</v>
      </c>
      <c r="B506" t="s">
        <v>29</v>
      </c>
      <c r="C506" t="s">
        <v>154</v>
      </c>
    </row>
    <row r="507" spans="1:6" x14ac:dyDescent="0.25">
      <c r="A507" t="s">
        <v>153</v>
      </c>
      <c r="B507" t="s">
        <v>31</v>
      </c>
      <c r="C507" t="s">
        <v>151</v>
      </c>
    </row>
    <row r="508" spans="1:6" x14ac:dyDescent="0.25">
      <c r="A508" t="s">
        <v>153</v>
      </c>
      <c r="B508" t="s">
        <v>33</v>
      </c>
      <c r="C508" t="s">
        <v>155</v>
      </c>
    </row>
    <row r="509" spans="1:6" x14ac:dyDescent="0.25">
      <c r="A509" t="s">
        <v>153</v>
      </c>
      <c r="B509" t="s">
        <v>35</v>
      </c>
      <c r="C509" t="s">
        <v>36</v>
      </c>
    </row>
    <row r="510" spans="1:6" x14ac:dyDescent="0.25">
      <c r="A510" t="s">
        <v>153</v>
      </c>
      <c r="B510" t="s">
        <v>37</v>
      </c>
      <c r="C510" t="s">
        <v>38</v>
      </c>
    </row>
    <row r="511" spans="1:6" x14ac:dyDescent="0.25">
      <c r="A511" t="s">
        <v>153</v>
      </c>
      <c r="B511" t="s">
        <v>39</v>
      </c>
      <c r="C511" t="s">
        <v>53</v>
      </c>
    </row>
    <row r="512" spans="1:6" x14ac:dyDescent="0.25">
      <c r="A512" t="s">
        <v>153</v>
      </c>
      <c r="B512" t="s">
        <v>41</v>
      </c>
      <c r="C512" t="s">
        <v>56</v>
      </c>
    </row>
    <row r="513" spans="1:6" x14ac:dyDescent="0.25">
      <c r="A513" t="s">
        <v>16</v>
      </c>
    </row>
    <row r="514" spans="1:6" x14ac:dyDescent="0.25">
      <c r="A514" t="s">
        <v>17</v>
      </c>
      <c r="B514" t="s">
        <v>43</v>
      </c>
      <c r="C514" t="s">
        <v>44</v>
      </c>
      <c r="D514" t="s">
        <v>8</v>
      </c>
      <c r="E514" t="s">
        <v>45</v>
      </c>
      <c r="F514" t="s">
        <v>46</v>
      </c>
    </row>
    <row r="515" spans="1:6" x14ac:dyDescent="0.25">
      <c r="A515" t="s">
        <v>153</v>
      </c>
      <c r="B515" t="s">
        <v>156</v>
      </c>
      <c r="C515" t="s">
        <v>48</v>
      </c>
      <c r="D515" t="s">
        <v>49</v>
      </c>
      <c r="E515" t="str">
        <f>HYPERLINK("https://kvtnl.sharepoint.com/sites/BCDocumentRepository/Equipment/10026747_EdgeConnex-AMS05 GE-29-GENEA100 SET/100_SERV_REP_PDF/10026747_20260415_WO2601795_EdgeConnex-AMS05 GE-29-GENEA100 SET_128H_QOH_1588.pdf","PDF")</f>
        <v>PDF</v>
      </c>
      <c r="F515" t="str">
        <f>HYPERLINK("https://kvtnl.sharepoint.com/sites/BCDocumentRepository/Equipment/10026747_EdgeConnex-AMS05 GE-29-GENEA100 SET/101_SERV_REP_EXCEL/10026747_20260415_WO2601795_128H_QOH_1588.xlsm","Excel")</f>
        <v>Excel</v>
      </c>
    </row>
    <row r="516" spans="1:6" x14ac:dyDescent="0.25">
      <c r="A516" t="s">
        <v>16</v>
      </c>
    </row>
    <row r="517" spans="1:6" x14ac:dyDescent="0.25">
      <c r="A517" t="s">
        <v>17</v>
      </c>
      <c r="B517" t="s">
        <v>18</v>
      </c>
      <c r="C517" t="s">
        <v>19</v>
      </c>
    </row>
    <row r="518" spans="1:6" x14ac:dyDescent="0.25">
      <c r="A518" t="s">
        <v>157</v>
      </c>
      <c r="B518" t="s">
        <v>21</v>
      </c>
      <c r="C518" t="s">
        <v>22</v>
      </c>
    </row>
    <row r="519" spans="1:6" x14ac:dyDescent="0.25">
      <c r="A519" t="s">
        <v>157</v>
      </c>
      <c r="B519" t="s">
        <v>23</v>
      </c>
      <c r="C519" t="s">
        <v>24</v>
      </c>
    </row>
    <row r="520" spans="1:6" x14ac:dyDescent="0.25">
      <c r="A520" t="s">
        <v>157</v>
      </c>
      <c r="B520" t="s">
        <v>25</v>
      </c>
      <c r="C520" t="s">
        <v>26</v>
      </c>
    </row>
    <row r="521" spans="1:6" x14ac:dyDescent="0.25">
      <c r="A521" t="s">
        <v>157</v>
      </c>
      <c r="B521" t="s">
        <v>27</v>
      </c>
      <c r="C521" t="s">
        <v>28</v>
      </c>
    </row>
    <row r="522" spans="1:6" x14ac:dyDescent="0.25">
      <c r="A522" t="s">
        <v>157</v>
      </c>
      <c r="B522" t="s">
        <v>29</v>
      </c>
      <c r="C522" t="s">
        <v>154</v>
      </c>
    </row>
    <row r="523" spans="1:6" x14ac:dyDescent="0.25">
      <c r="A523" t="s">
        <v>157</v>
      </c>
      <c r="B523" t="s">
        <v>31</v>
      </c>
      <c r="C523" t="s">
        <v>151</v>
      </c>
    </row>
    <row r="524" spans="1:6" x14ac:dyDescent="0.25">
      <c r="A524" t="s">
        <v>157</v>
      </c>
      <c r="B524" t="s">
        <v>33</v>
      </c>
      <c r="C524" t="s">
        <v>155</v>
      </c>
    </row>
    <row r="525" spans="1:6" x14ac:dyDescent="0.25">
      <c r="A525" t="s">
        <v>157</v>
      </c>
      <c r="B525" t="s">
        <v>35</v>
      </c>
      <c r="C525" t="s">
        <v>36</v>
      </c>
    </row>
    <row r="526" spans="1:6" x14ac:dyDescent="0.25">
      <c r="A526" t="s">
        <v>157</v>
      </c>
      <c r="B526" t="s">
        <v>37</v>
      </c>
      <c r="C526" t="s">
        <v>38</v>
      </c>
    </row>
    <row r="527" spans="1:6" x14ac:dyDescent="0.25">
      <c r="A527" t="s">
        <v>157</v>
      </c>
      <c r="B527" t="s">
        <v>39</v>
      </c>
      <c r="C527" t="s">
        <v>53</v>
      </c>
    </row>
    <row r="528" spans="1:6" x14ac:dyDescent="0.25">
      <c r="A528" t="s">
        <v>157</v>
      </c>
      <c r="B528" t="s">
        <v>41</v>
      </c>
      <c r="C528" t="s">
        <v>56</v>
      </c>
    </row>
    <row r="529" spans="1:6" x14ac:dyDescent="0.25">
      <c r="A529" t="s">
        <v>16</v>
      </c>
    </row>
    <row r="530" spans="1:6" x14ac:dyDescent="0.25">
      <c r="A530" t="s">
        <v>17</v>
      </c>
      <c r="B530" t="s">
        <v>43</v>
      </c>
      <c r="C530" t="s">
        <v>44</v>
      </c>
      <c r="D530" t="s">
        <v>8</v>
      </c>
      <c r="E530" t="s">
        <v>45</v>
      </c>
      <c r="F530" t="s">
        <v>46</v>
      </c>
    </row>
    <row r="531" spans="1:6" x14ac:dyDescent="0.25">
      <c r="A531" t="s">
        <v>157</v>
      </c>
      <c r="B531" t="s">
        <v>158</v>
      </c>
      <c r="C531" t="s">
        <v>48</v>
      </c>
      <c r="D531" t="s">
        <v>49</v>
      </c>
      <c r="E531" t="str">
        <f>HYPERLINK("https://kvtnl.sharepoint.com/sites/BCDocumentRepository/Equipment/10026748_EdgeConnex-AMS05 GE-30-GENEB100 SET/100_SERV_REP_PDF/10026748_20260415_WO2601806_EdgeConnex-AMS05 GE-30-GENEB100 SET_127H_QOH_1588.pdf","PDF")</f>
        <v>PDF</v>
      </c>
      <c r="F531" t="str">
        <f>HYPERLINK("https://kvtnl.sharepoint.com/sites/BCDocumentRepository/Equipment/10026748_EdgeConnex-AMS05 GE-30-GENEB100 SET/101_SERV_REP_EXCEL/10026748_20260415_WO2601806_127H_QOH_1588.xlsm","Excel")</f>
        <v>Excel</v>
      </c>
    </row>
    <row r="532" spans="1:6" x14ac:dyDescent="0.25">
      <c r="A532" t="s">
        <v>16</v>
      </c>
    </row>
    <row r="533" spans="1:6" x14ac:dyDescent="0.25">
      <c r="A533" t="s">
        <v>17</v>
      </c>
      <c r="B533" t="s">
        <v>18</v>
      </c>
      <c r="C533" t="s">
        <v>19</v>
      </c>
    </row>
    <row r="534" spans="1:6" x14ac:dyDescent="0.25">
      <c r="A534" t="s">
        <v>159</v>
      </c>
      <c r="B534" t="s">
        <v>21</v>
      </c>
      <c r="C534" t="s">
        <v>22</v>
      </c>
    </row>
    <row r="535" spans="1:6" x14ac:dyDescent="0.25">
      <c r="A535" t="s">
        <v>159</v>
      </c>
      <c r="B535" t="s">
        <v>23</v>
      </c>
      <c r="C535" t="s">
        <v>24</v>
      </c>
    </row>
    <row r="536" spans="1:6" x14ac:dyDescent="0.25">
      <c r="A536" t="s">
        <v>159</v>
      </c>
      <c r="B536" t="s">
        <v>25</v>
      </c>
      <c r="C536" t="s">
        <v>26</v>
      </c>
    </row>
    <row r="537" spans="1:6" x14ac:dyDescent="0.25">
      <c r="A537" t="s">
        <v>159</v>
      </c>
      <c r="B537" t="s">
        <v>27</v>
      </c>
      <c r="C537" t="s">
        <v>28</v>
      </c>
    </row>
    <row r="538" spans="1:6" x14ac:dyDescent="0.25">
      <c r="A538" t="s">
        <v>159</v>
      </c>
      <c r="B538" t="s">
        <v>29</v>
      </c>
      <c r="C538" t="s">
        <v>154</v>
      </c>
    </row>
    <row r="539" spans="1:6" x14ac:dyDescent="0.25">
      <c r="A539" t="s">
        <v>159</v>
      </c>
      <c r="B539" t="s">
        <v>31</v>
      </c>
      <c r="C539" t="s">
        <v>151</v>
      </c>
    </row>
    <row r="540" spans="1:6" x14ac:dyDescent="0.25">
      <c r="A540" t="s">
        <v>159</v>
      </c>
      <c r="B540" t="s">
        <v>33</v>
      </c>
      <c r="C540" t="s">
        <v>155</v>
      </c>
    </row>
    <row r="541" spans="1:6" x14ac:dyDescent="0.25">
      <c r="A541" t="s">
        <v>159</v>
      </c>
      <c r="B541" t="s">
        <v>35</v>
      </c>
      <c r="C541" t="s">
        <v>36</v>
      </c>
    </row>
    <row r="542" spans="1:6" x14ac:dyDescent="0.25">
      <c r="A542" t="s">
        <v>159</v>
      </c>
      <c r="B542" t="s">
        <v>37</v>
      </c>
      <c r="C542" t="s">
        <v>38</v>
      </c>
    </row>
    <row r="543" spans="1:6" x14ac:dyDescent="0.25">
      <c r="A543" t="s">
        <v>159</v>
      </c>
      <c r="B543" t="s">
        <v>39</v>
      </c>
      <c r="C543" t="s">
        <v>53</v>
      </c>
    </row>
    <row r="544" spans="1:6" x14ac:dyDescent="0.25">
      <c r="A544" t="s">
        <v>159</v>
      </c>
      <c r="B544" t="s">
        <v>41</v>
      </c>
      <c r="C544" t="s">
        <v>56</v>
      </c>
    </row>
    <row r="545" spans="1:6" x14ac:dyDescent="0.25">
      <c r="A545" t="s">
        <v>16</v>
      </c>
    </row>
    <row r="546" spans="1:6" x14ac:dyDescent="0.25">
      <c r="A546" t="s">
        <v>17</v>
      </c>
      <c r="B546" t="s">
        <v>43</v>
      </c>
      <c r="C546" t="s">
        <v>44</v>
      </c>
      <c r="D546" t="s">
        <v>8</v>
      </c>
      <c r="E546" t="s">
        <v>45</v>
      </c>
      <c r="F546" t="s">
        <v>46</v>
      </c>
    </row>
    <row r="547" spans="1:6" x14ac:dyDescent="0.25">
      <c r="A547" t="s">
        <v>159</v>
      </c>
      <c r="B547" t="s">
        <v>160</v>
      </c>
      <c r="C547" t="s">
        <v>48</v>
      </c>
      <c r="D547" t="s">
        <v>49</v>
      </c>
      <c r="E547" t="str">
        <f>HYPERLINK("https://kvtnl.sharepoint.com/sites/BCDocumentRepository/Equipment/10026749_EdgeConnex-AMS05 GE-31-GENEC100 SET/100_SERV_REP_PDF/10026749_20260416_WO2601817_EdgeConnex-AMS05 GE-31-GENEC100 SET_123H_QOH_1832.pdf","PDF")</f>
        <v>PDF</v>
      </c>
      <c r="F547" t="str">
        <f>HYPERLINK("https://kvtnl.sharepoint.com/sites/BCDocumentRepository/Equipment/10026749_EdgeConnex-AMS05 GE-31-GENEC100 SET/101_SERV_REP_EXCEL/10026749_20260416_WO2601817_123H_QOH_1832.xlsm","Excel")</f>
        <v>Excel</v>
      </c>
    </row>
    <row r="548" spans="1:6" x14ac:dyDescent="0.25">
      <c r="A548" t="s">
        <v>16</v>
      </c>
    </row>
    <row r="549" spans="1:6" x14ac:dyDescent="0.25">
      <c r="A549" t="s">
        <v>17</v>
      </c>
      <c r="B549" t="s">
        <v>18</v>
      </c>
      <c r="C549" t="s">
        <v>19</v>
      </c>
    </row>
    <row r="550" spans="1:6" x14ac:dyDescent="0.25">
      <c r="A550" t="s">
        <v>161</v>
      </c>
      <c r="B550" t="s">
        <v>21</v>
      </c>
      <c r="C550" t="s">
        <v>22</v>
      </c>
    </row>
    <row r="551" spans="1:6" x14ac:dyDescent="0.25">
      <c r="A551" t="s">
        <v>161</v>
      </c>
      <c r="B551" t="s">
        <v>23</v>
      </c>
      <c r="C551" t="s">
        <v>24</v>
      </c>
    </row>
    <row r="552" spans="1:6" x14ac:dyDescent="0.25">
      <c r="A552" t="s">
        <v>161</v>
      </c>
      <c r="B552" t="s">
        <v>25</v>
      </c>
      <c r="C552" t="s">
        <v>26</v>
      </c>
    </row>
    <row r="553" spans="1:6" x14ac:dyDescent="0.25">
      <c r="A553" t="s">
        <v>161</v>
      </c>
      <c r="B553" t="s">
        <v>27</v>
      </c>
      <c r="C553" t="s">
        <v>28</v>
      </c>
    </row>
    <row r="554" spans="1:6" x14ac:dyDescent="0.25">
      <c r="A554" t="s">
        <v>161</v>
      </c>
      <c r="B554" t="s">
        <v>29</v>
      </c>
      <c r="C554" t="s">
        <v>154</v>
      </c>
    </row>
    <row r="555" spans="1:6" x14ac:dyDescent="0.25">
      <c r="A555" t="s">
        <v>161</v>
      </c>
      <c r="B555" t="s">
        <v>31</v>
      </c>
      <c r="C555" t="s">
        <v>151</v>
      </c>
    </row>
    <row r="556" spans="1:6" x14ac:dyDescent="0.25">
      <c r="A556" t="s">
        <v>161</v>
      </c>
      <c r="B556" t="s">
        <v>33</v>
      </c>
      <c r="C556" t="s">
        <v>155</v>
      </c>
    </row>
    <row r="557" spans="1:6" x14ac:dyDescent="0.25">
      <c r="A557" t="s">
        <v>161</v>
      </c>
      <c r="B557" t="s">
        <v>35</v>
      </c>
      <c r="C557" t="s">
        <v>36</v>
      </c>
    </row>
    <row r="558" spans="1:6" x14ac:dyDescent="0.25">
      <c r="A558" t="s">
        <v>161</v>
      </c>
      <c r="B558" t="s">
        <v>37</v>
      </c>
      <c r="C558" t="s">
        <v>38</v>
      </c>
    </row>
    <row r="559" spans="1:6" x14ac:dyDescent="0.25">
      <c r="A559" t="s">
        <v>161</v>
      </c>
      <c r="B559" t="s">
        <v>39</v>
      </c>
      <c r="C559" t="s">
        <v>53</v>
      </c>
    </row>
    <row r="560" spans="1:6" x14ac:dyDescent="0.25">
      <c r="A560" t="s">
        <v>161</v>
      </c>
      <c r="B560" t="s">
        <v>41</v>
      </c>
      <c r="C560" t="s">
        <v>56</v>
      </c>
    </row>
    <row r="561" spans="1:6" x14ac:dyDescent="0.25">
      <c r="A561" t="s">
        <v>16</v>
      </c>
    </row>
    <row r="562" spans="1:6" x14ac:dyDescent="0.25">
      <c r="A562" t="s">
        <v>17</v>
      </c>
      <c r="B562" t="s">
        <v>43</v>
      </c>
      <c r="C562" t="s">
        <v>44</v>
      </c>
      <c r="D562" t="s">
        <v>8</v>
      </c>
      <c r="E562" t="s">
        <v>45</v>
      </c>
      <c r="F562" t="s">
        <v>46</v>
      </c>
    </row>
    <row r="563" spans="1:6" x14ac:dyDescent="0.25">
      <c r="A563" t="s">
        <v>161</v>
      </c>
      <c r="B563" t="s">
        <v>162</v>
      </c>
      <c r="C563" t="s">
        <v>48</v>
      </c>
      <c r="D563" t="s">
        <v>49</v>
      </c>
      <c r="E563" t="str">
        <f>HYPERLINK("https://kvtnl.sharepoint.com/sites/BCDocumentRepository/Equipment/10026750_EdgeConnex-AMS05 GE-32-GENED100 SET/100_SERV_REP_PDF/10026750_20260415_WO2601828_EdgeConnex-AMS05 GE-32-GENED100 SET_122H_QOH_1588.pdf","PDF")</f>
        <v>PDF</v>
      </c>
      <c r="F563" t="str">
        <f>HYPERLINK("https://kvtnl.sharepoint.com/sites/BCDocumentRepository/Equipment/10026750_EdgeConnex-AMS05 GE-32-GENED100 SET/101_SERV_REP_EXCEL/10026750_20260415_WO2601828_122H_QOH_1588.xlsm","Excel")</f>
        <v>Excel</v>
      </c>
    </row>
    <row r="564" spans="1:6" x14ac:dyDescent="0.25">
      <c r="A564" t="s">
        <v>16</v>
      </c>
    </row>
    <row r="565" spans="1:6" x14ac:dyDescent="0.25">
      <c r="A565" t="s">
        <v>17</v>
      </c>
      <c r="B565" t="s">
        <v>18</v>
      </c>
      <c r="C565" t="s">
        <v>19</v>
      </c>
    </row>
    <row r="566" spans="1:6" x14ac:dyDescent="0.25">
      <c r="A566" t="s">
        <v>163</v>
      </c>
      <c r="B566" t="s">
        <v>21</v>
      </c>
      <c r="C566" t="s">
        <v>22</v>
      </c>
    </row>
    <row r="567" spans="1:6" x14ac:dyDescent="0.25">
      <c r="A567" t="s">
        <v>163</v>
      </c>
      <c r="B567" t="s">
        <v>23</v>
      </c>
      <c r="C567" t="s">
        <v>24</v>
      </c>
    </row>
    <row r="568" spans="1:6" x14ac:dyDescent="0.25">
      <c r="A568" t="s">
        <v>163</v>
      </c>
      <c r="B568" t="s">
        <v>25</v>
      </c>
      <c r="C568" t="s">
        <v>26</v>
      </c>
    </row>
    <row r="569" spans="1:6" x14ac:dyDescent="0.25">
      <c r="A569" t="s">
        <v>163</v>
      </c>
      <c r="B569" t="s">
        <v>27</v>
      </c>
      <c r="C569" t="s">
        <v>28</v>
      </c>
    </row>
    <row r="570" spans="1:6" x14ac:dyDescent="0.25">
      <c r="A570" t="s">
        <v>163</v>
      </c>
      <c r="B570" t="s">
        <v>29</v>
      </c>
      <c r="C570" t="s">
        <v>154</v>
      </c>
    </row>
    <row r="571" spans="1:6" x14ac:dyDescent="0.25">
      <c r="A571" t="s">
        <v>163</v>
      </c>
      <c r="B571" t="s">
        <v>31</v>
      </c>
      <c r="C571" t="s">
        <v>151</v>
      </c>
    </row>
    <row r="572" spans="1:6" x14ac:dyDescent="0.25">
      <c r="A572" t="s">
        <v>163</v>
      </c>
      <c r="B572" t="s">
        <v>33</v>
      </c>
      <c r="C572" t="s">
        <v>155</v>
      </c>
    </row>
    <row r="573" spans="1:6" x14ac:dyDescent="0.25">
      <c r="A573" t="s">
        <v>163</v>
      </c>
      <c r="B573" t="s">
        <v>35</v>
      </c>
      <c r="C573" t="s">
        <v>36</v>
      </c>
    </row>
    <row r="574" spans="1:6" x14ac:dyDescent="0.25">
      <c r="A574" t="s">
        <v>163</v>
      </c>
      <c r="B574" t="s">
        <v>37</v>
      </c>
      <c r="C574" t="s">
        <v>38</v>
      </c>
    </row>
    <row r="575" spans="1:6" x14ac:dyDescent="0.25">
      <c r="A575" t="s">
        <v>163</v>
      </c>
      <c r="B575" t="s">
        <v>39</v>
      </c>
      <c r="C575" t="s">
        <v>53</v>
      </c>
    </row>
    <row r="576" spans="1:6" x14ac:dyDescent="0.25">
      <c r="A576" t="s">
        <v>163</v>
      </c>
      <c r="B576" t="s">
        <v>41</v>
      </c>
      <c r="C576" t="s">
        <v>56</v>
      </c>
    </row>
    <row r="577" spans="1:6" x14ac:dyDescent="0.25">
      <c r="A577" t="s">
        <v>16</v>
      </c>
    </row>
    <row r="578" spans="1:6" x14ac:dyDescent="0.25">
      <c r="A578" t="s">
        <v>17</v>
      </c>
      <c r="B578" t="s">
        <v>43</v>
      </c>
      <c r="C578" t="s">
        <v>44</v>
      </c>
      <c r="D578" t="s">
        <v>8</v>
      </c>
      <c r="E578" t="s">
        <v>45</v>
      </c>
      <c r="F578" t="s">
        <v>46</v>
      </c>
    </row>
    <row r="579" spans="1:6" x14ac:dyDescent="0.25">
      <c r="A579" t="s">
        <v>163</v>
      </c>
      <c r="B579" t="s">
        <v>164</v>
      </c>
      <c r="C579" t="s">
        <v>48</v>
      </c>
      <c r="D579" t="s">
        <v>49</v>
      </c>
      <c r="E579" t="str">
        <f>HYPERLINK("https://kvtnl.sharepoint.com/sites/BCDocumentRepository/Equipment/10026751_EdgeConnex-AMS05 GE-33-GENEE100 SET/100_SERV_REP_PDF/10026751_20260416_WO2601839_EdgeConnex-AMS05 GE-33-GENEE100 SET_123H_QOH_1832.pdf","PDF")</f>
        <v>PDF</v>
      </c>
      <c r="F579" t="str">
        <f>HYPERLINK("https://kvtnl.sharepoint.com/sites/BCDocumentRepository/Equipment/10026751_EdgeConnex-AMS05 GE-33-GENEE100 SET/101_SERV_REP_EXCEL/10026751_20260416_WO2601839_123H_QOH_1832.xlsm","Excel")</f>
        <v>Excel</v>
      </c>
    </row>
    <row r="580" spans="1:6" x14ac:dyDescent="0.25">
      <c r="A580" t="s">
        <v>16</v>
      </c>
    </row>
    <row r="581" spans="1:6" x14ac:dyDescent="0.25">
      <c r="A581" t="s">
        <v>17</v>
      </c>
      <c r="B581" t="s">
        <v>18</v>
      </c>
      <c r="C581" t="s">
        <v>19</v>
      </c>
    </row>
    <row r="582" spans="1:6" x14ac:dyDescent="0.25">
      <c r="A582" t="s">
        <v>165</v>
      </c>
      <c r="B582" t="s">
        <v>21</v>
      </c>
      <c r="C582" t="s">
        <v>22</v>
      </c>
    </row>
    <row r="583" spans="1:6" x14ac:dyDescent="0.25">
      <c r="A583" t="s">
        <v>165</v>
      </c>
      <c r="B583" t="s">
        <v>23</v>
      </c>
      <c r="C583" t="s">
        <v>24</v>
      </c>
    </row>
    <row r="584" spans="1:6" x14ac:dyDescent="0.25">
      <c r="A584" t="s">
        <v>165</v>
      </c>
      <c r="B584" t="s">
        <v>25</v>
      </c>
      <c r="C584" t="s">
        <v>26</v>
      </c>
    </row>
    <row r="585" spans="1:6" x14ac:dyDescent="0.25">
      <c r="A585" t="s">
        <v>165</v>
      </c>
      <c r="B585" t="s">
        <v>27</v>
      </c>
      <c r="C585" t="s">
        <v>28</v>
      </c>
    </row>
    <row r="586" spans="1:6" x14ac:dyDescent="0.25">
      <c r="A586" t="s">
        <v>165</v>
      </c>
      <c r="B586" t="s">
        <v>29</v>
      </c>
      <c r="C586" t="s">
        <v>154</v>
      </c>
    </row>
    <row r="587" spans="1:6" x14ac:dyDescent="0.25">
      <c r="A587" t="s">
        <v>165</v>
      </c>
      <c r="B587" t="s">
        <v>31</v>
      </c>
      <c r="C587" t="s">
        <v>151</v>
      </c>
    </row>
    <row r="588" spans="1:6" x14ac:dyDescent="0.25">
      <c r="A588" t="s">
        <v>165</v>
      </c>
      <c r="B588" t="s">
        <v>33</v>
      </c>
      <c r="C588" t="s">
        <v>155</v>
      </c>
    </row>
    <row r="589" spans="1:6" x14ac:dyDescent="0.25">
      <c r="A589" t="s">
        <v>165</v>
      </c>
      <c r="B589" t="s">
        <v>35</v>
      </c>
      <c r="C589" t="s">
        <v>36</v>
      </c>
    </row>
    <row r="590" spans="1:6" x14ac:dyDescent="0.25">
      <c r="A590" t="s">
        <v>165</v>
      </c>
      <c r="B590" t="s">
        <v>37</v>
      </c>
      <c r="C590" t="s">
        <v>38</v>
      </c>
    </row>
    <row r="591" spans="1:6" x14ac:dyDescent="0.25">
      <c r="A591" t="s">
        <v>165</v>
      </c>
      <c r="B591" t="s">
        <v>39</v>
      </c>
      <c r="C591" t="s">
        <v>53</v>
      </c>
    </row>
    <row r="592" spans="1:6" x14ac:dyDescent="0.25">
      <c r="A592" t="s">
        <v>165</v>
      </c>
      <c r="B592" t="s">
        <v>41</v>
      </c>
      <c r="C592" t="s">
        <v>56</v>
      </c>
    </row>
    <row r="593" spans="1:6" x14ac:dyDescent="0.25">
      <c r="A593" t="s">
        <v>16</v>
      </c>
    </row>
    <row r="594" spans="1:6" x14ac:dyDescent="0.25">
      <c r="A594" t="s">
        <v>17</v>
      </c>
      <c r="B594" t="s">
        <v>43</v>
      </c>
      <c r="C594" t="s">
        <v>44</v>
      </c>
      <c r="D594" t="s">
        <v>8</v>
      </c>
      <c r="E594" t="s">
        <v>45</v>
      </c>
      <c r="F594" t="s">
        <v>46</v>
      </c>
    </row>
    <row r="595" spans="1:6" x14ac:dyDescent="0.25">
      <c r="A595" t="s">
        <v>165</v>
      </c>
      <c r="B595" t="s">
        <v>166</v>
      </c>
      <c r="C595" t="s">
        <v>48</v>
      </c>
      <c r="D595" t="s">
        <v>49</v>
      </c>
      <c r="E595" t="str">
        <f>HYPERLINK("https://kvtnl.sharepoint.com/sites/BCDocumentRepository/Equipment/10026752_EdgeConnex-AMS05 GE-34-GENEF100 SET/100_SERV_REP_PDF/10026752_20260416_WO2601850_EdgeConnex-AMS05 GE-34-GENEF100 SET_127H_QOH_1832.pdf","PDF")</f>
        <v>PDF</v>
      </c>
      <c r="F595" t="str">
        <f>HYPERLINK("https://kvtnl.sharepoint.com/sites/BCDocumentRepository/Equipment/10026752_EdgeConnex-AMS05 GE-34-GENEF100 SET/101_SERV_REP_EXCEL/10026752_20260416_WO2601850_127H_QOH_1832.xlsm","Excel")</f>
        <v>Excel</v>
      </c>
    </row>
  </sheetData>
  <pageMargins left="0.7" right="0.7" top="0.75" bottom="0.75" header="0.3" footer="0.3"/>
  <tableParts count="69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 Falken</cp:lastModifiedBy>
  <dcterms:created xsi:type="dcterms:W3CDTF">2026-06-16T12:15:57Z</dcterms:created>
  <dcterms:modified xsi:type="dcterms:W3CDTF">2026-06-16T12:16:12Z</dcterms:modified>
</cp:coreProperties>
</file>